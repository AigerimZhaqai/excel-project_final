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ffic\OneDrive\Рабочий стол\Study\Academica\Финальный проект\EXCEL\"/>
    </mc:Choice>
  </mc:AlternateContent>
  <xr:revisionPtr revIDLastSave="0" documentId="13_ncr:1_{28FAFC36-36C4-4CC0-8BCA-BDA3ACD83A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водная табл" sheetId="3" r:id="rId1"/>
    <sheet name="Диаграмма" sheetId="4" r:id="rId2"/>
    <sheet name="Лист1" sheetId="1" r:id="rId3"/>
    <sheet name="Лист2" sheetId="2" r:id="rId4"/>
  </sheets>
  <definedNames>
    <definedName name="_xlnm._FilterDatabase" localSheetId="2" hidden="1">Лист1!$A$1:$X$505</definedName>
    <definedName name="_xlnm._FilterDatabase" localSheetId="3" hidden="1">Лист2!$A$1:$E$505</definedName>
  </definedName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</calcChain>
</file>

<file path=xl/sharedStrings.xml><?xml version="1.0" encoding="utf-8"?>
<sst xmlns="http://schemas.openxmlformats.org/spreadsheetml/2006/main" count="1094" uniqueCount="35">
  <si>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</si>
  <si>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</si>
  <si>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</si>
  <si>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</si>
  <si>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</si>
  <si>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</si>
  <si>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</si>
  <si>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</si>
  <si>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</si>
  <si>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</si>
  <si>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</si>
  <si>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</si>
  <si>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</si>
  <si>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</si>
  <si>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</si>
  <si>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</si>
  <si>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</si>
  <si>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</si>
  <si>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</si>
  <si>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</si>
  <si>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</si>
  <si>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</si>
  <si>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</si>
  <si>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</si>
  <si>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</si>
  <si>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</si>
  <si>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</si>
  <si>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</si>
  <si>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</si>
  <si>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Сумма по полю Товарооборот на склад</t>
  </si>
  <si>
    <t>Сумма по полю Товарооборот, руб</t>
  </si>
  <si>
    <t>Территория/Неделя</t>
  </si>
  <si>
    <t>Топ-3 по доле в общем товарообороте</t>
  </si>
  <si>
    <t xml:space="preserve">1.1. Данные в разрезе недель и Территорий. </t>
  </si>
  <si>
    <t xml:space="preserve"> Топ-3 территорий по товарообороту на склад за последнюю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</si>
</sst>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3" fontId="1" fillId="2" borderId="3" xfId="0" applyNumberFormat="1" applyFont="1" applyFill="1" applyBorder="1" applyAlignment="1">
      <alignment vertical="center" wrapText="1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pivotButton="1" applyNumberFormat="1"/>
    <xf numFmtId="3" fontId="0" fillId="0" borderId="0" xfId="0" applyNumberFormat="1" applyAlignment="1">
      <alignment horizontal="left"/>
    </xf>
    <xf numFmtId="3" fontId="0" fillId="0" borderId="0" xfId="0" applyNumberFormat="1" applyAlignment="1">
      <alignment wrapText="1"/>
    </xf>
    <xf numFmtId="0" fontId="0" fillId="0" borderId="0" xfId="0" applyAlignment="1">
      <alignment wrapText="1"/>
    </xf>
    <xf numFmtId="3" fontId="0" fillId="0" borderId="0" xfId="0" pivotButton="1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left" indent="1"/>
    </xf>
    <xf numFmtId="10" fontId="0" fillId="0" borderId="0" xfId="0" applyNumberFormat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/>
    <xf numFmtId="3" fontId="0" fillId="5" borderId="0" xfId="0" applyNumberFormat="1" applyFill="1" applyAlignment="1">
      <alignment horizontal="left"/>
    </xf>
    <xf numFmtId="3" fontId="0" fillId="5" borderId="0" xfId="0" applyNumberFormat="1" applyFill="1" applyAlignment="1">
      <alignment horizontal="center" vertical="center" wrapText="1"/>
    </xf>
    <xf numFmtId="3" fontId="0" fillId="5" borderId="0" xfId="0" applyNumberFormat="1" applyFill="1" applyAlignment="1">
      <alignment horizontal="left" vertical="center"/>
    </xf>
    <xf numFmtId="10" fontId="0" fillId="5" borderId="0" xfId="0" applyNumberFormat="1" applyFill="1" applyAlignment="1">
      <alignment horizontal="center" vertical="center" wrapText="1"/>
    </xf>
    <xf numFmtId="0" fontId="0" fillId="0" borderId="0" xfId="0" applyNumberFormat="1" applyAlignment="1">
      <alignment wrapText="1"/>
    </xf>
  </cellXfs>
  <cellStyles count="1">
    <cellStyle name="Обычный" xfId="0" builtinId="0"/>
  </cellStyles>
  <dxfs count="1192">
    <dxf>
      <alignment wrapText="1"/>
    </dxf>
    <dxf>
      <alignment wrapText="1"/>
    </dxf>
    <dxf>
      <numFmt numFmtId="165" formatCode="#,##0.0"/>
    </dxf>
    <dxf>
      <numFmt numFmtId="3" formatCode="#,##0"/>
    </dxf>
    <dxf>
      <numFmt numFmtId="4" formatCode="#,##0.00"/>
    </dxf>
    <dxf>
      <fill>
        <patternFill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.xlsx]Диаграмма!Сводная таблица4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Диаграмма!$B$3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Диаграмма!$A$4:$A$10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Диаграмма!$B$4:$B$10</c:f>
              <c:numCache>
                <c:formatCode>#,##0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D-43FE-BE44-44B245C8CDB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2882463"/>
        <c:axId val="122874783"/>
      </c:lineChart>
      <c:lineChart>
        <c:grouping val="standard"/>
        <c:varyColors val="0"/>
        <c:ser>
          <c:idx val="1"/>
          <c:order val="1"/>
          <c:tx>
            <c:strRef>
              <c:f>Диаграмма!$C$3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Диаграмма!$A$4:$A$10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Диаграмма!$C$4:$C$10</c:f>
              <c:numCache>
                <c:formatCode>#,##0</c:formatCode>
                <c:ptCount val="6"/>
                <c:pt idx="0">
                  <c:v>15050189.484421248</c:v>
                </c:pt>
                <c:pt idx="1">
                  <c:v>17810866.503784601</c:v>
                </c:pt>
                <c:pt idx="2">
                  <c:v>17504431.254499577</c:v>
                </c:pt>
                <c:pt idx="3">
                  <c:v>18752594.736982953</c:v>
                </c:pt>
                <c:pt idx="4">
                  <c:v>20458986.916362662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D-43FE-BE44-44B245C8C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901183"/>
        <c:axId val="122904063"/>
      </c:lineChart>
      <c:catAx>
        <c:axId val="12288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874783"/>
        <c:crosses val="autoZero"/>
        <c:auto val="1"/>
        <c:lblAlgn val="ctr"/>
        <c:lblOffset val="100"/>
        <c:noMultiLvlLbl val="0"/>
      </c:catAx>
      <c:valAx>
        <c:axId val="12287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882463"/>
        <c:crosses val="autoZero"/>
        <c:crossBetween val="between"/>
      </c:valAx>
      <c:valAx>
        <c:axId val="122904063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901183"/>
        <c:crosses val="max"/>
        <c:crossBetween val="between"/>
      </c:valAx>
      <c:catAx>
        <c:axId val="122901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90406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1</xdr:row>
      <xdr:rowOff>49530</xdr:rowOff>
    </xdr:from>
    <xdr:to>
      <xdr:col>12</xdr:col>
      <xdr:colOff>83820</xdr:colOff>
      <xdr:row>16</xdr:row>
      <xdr:rowOff>49530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2C82F13-1565-FF7D-5E15-905A5847B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sp office" refreshedDate="46142.633936689817" createdVersion="8" refreshedVersion="8" minRefreshableVersion="3" recordCount="504" xr:uid="{A9437AA2-49F6-48DD-B3FF-6BE4BE2CAA22}">
  <cacheSource type="worksheet">
    <worksheetSource ref="A1:I505" sheet="Лист1"/>
  </cacheSource>
  <cacheFields count="9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3">
      <sharedItems containsSemiMixedTypes="0" containsString="0" containsNumber="1" minValue="26979.4" maxValue="496419" count="504">
        <n v="41598.1"/>
        <n v="52473.4"/>
        <n v="42929.599999999999"/>
        <n v="161709.14285714287"/>
        <n v="131957.92857142858"/>
        <n v="137259.92857142858"/>
        <n v="134810.42857142858"/>
        <n v="118615.5"/>
        <n v="145748.91666666666"/>
        <n v="150624.83333333334"/>
        <n v="148516.5"/>
        <n v="168403"/>
        <n v="123608.5"/>
        <n v="130684.85714285714"/>
        <n v="139491.92857142858"/>
        <n v="145338.15"/>
        <n v="133977.08333333334"/>
        <n v="125227.71428571429"/>
        <n v="121745.7"/>
        <n v="146931.15"/>
        <n v="172796.5"/>
        <n v="158829"/>
        <n v="148273.5"/>
        <n v="157760.35714285713"/>
        <n v="125960"/>
        <n v="117724.42857142857"/>
        <n v="146237.32500000001"/>
        <n v="165423.57142857142"/>
        <n v="196089.22500000001"/>
        <n v="141388.65"/>
        <n v="244637.37096774194"/>
        <n v="219855.19354838709"/>
        <n v="218546.66129032258"/>
        <n v="202094.61290322582"/>
        <n v="214266.09677419355"/>
        <n v="231628.98387096773"/>
        <n v="179167.5"/>
        <n v="215369.66129032258"/>
        <n v="286871.75806451612"/>
        <n v="206398.74193548388"/>
        <n v="213995.0806451613"/>
        <n v="233792.75806451612"/>
        <n v="223268.27419354839"/>
        <n v="231085.30645161291"/>
        <n v="225611.37096774194"/>
        <n v="226247.4193548387"/>
        <n v="198988.93548387097"/>
        <n v="260940.09677419355"/>
        <n v="214374.29032258064"/>
        <n v="226571.85483870967"/>
        <n v="241393.35483870967"/>
        <n v="203025.04838709679"/>
        <n v="212641.40322580645"/>
        <n v="208097.80645161291"/>
        <n v="113050.65"/>
        <n v="93876.45"/>
        <n v="84372.75"/>
        <n v="104640"/>
        <n v="72889.05"/>
        <n v="79791.899999999994"/>
        <n v="61788.15"/>
        <n v="98310.9"/>
        <n v="89113.95"/>
        <n v="73296.45"/>
        <n v="93552.3"/>
        <n v="103724.7"/>
        <n v="79332"/>
        <n v="86998.35"/>
        <n v="86571.45"/>
        <n v="242343.43548387097"/>
        <n v="63788.1"/>
        <n v="295635.72580645164"/>
        <n v="69683.25"/>
        <n v="124138.35"/>
        <n v="214244.17741935485"/>
        <n v="103044"/>
        <n v="71619.600000000006"/>
        <n v="100478.85"/>
        <n v="95970.3"/>
        <n v="86375.4"/>
        <n v="82898.399999999994"/>
        <n v="104551.5"/>
        <n v="126048.3"/>
        <n v="111455.25"/>
        <n v="169606.18421052632"/>
        <n v="150807.23684210525"/>
        <n v="141804.71052631579"/>
        <n v="152745.63157894736"/>
        <n v="128998.34210526316"/>
        <n v="133199.33333333334"/>
        <n v="94696.34210526316"/>
        <n v="145370.54999999999"/>
        <n v="124966.10526315789"/>
        <n v="124759.57894736843"/>
        <n v="150167.44736842104"/>
        <n v="141696.31578947368"/>
        <n v="109468.42105263157"/>
        <n v="125695.14705882352"/>
        <n v="124912.5"/>
        <n v="114226.81578947368"/>
        <n v="117501"/>
        <n v="169268.625"/>
        <n v="143286.375"/>
        <n v="119350.73684210527"/>
        <n v="150647.28947368421"/>
        <n v="119550.23684210527"/>
        <n v="123719.60526315789"/>
        <n v="145776.67499999999"/>
        <n v="149599.95000000001"/>
        <n v="182708.32500000001"/>
        <n v="150210.67499999999"/>
        <n v="249890.41860465117"/>
        <n v="210028.09302325582"/>
        <n v="206666.12790697673"/>
        <n v="230761.23255813954"/>
        <n v="227580.93023255814"/>
        <n v="241166.30859375"/>
        <n v="188697.8023255814"/>
        <n v="216066.80541744188"/>
        <n v="240723.38372093023"/>
        <n v="225135.81395348837"/>
        <n v="215913.95348837209"/>
        <n v="227664.8962593023"/>
        <n v="211460.78406976743"/>
        <n v="227804.94140625"/>
        <n v="205174.05813953487"/>
        <n v="220364.34883720931"/>
        <n v="223029.53570232558"/>
        <n v="272123.46288023255"/>
        <n v="210588.47674418605"/>
        <n v="251309.13953488372"/>
        <n v="228962.6054732558"/>
        <n v="295283.38372093026"/>
        <n v="196319.93023255814"/>
        <n v="218515.76744186046"/>
        <n v="338589.04800000001"/>
        <n v="296185.94400000002"/>
        <n v="294676.53600000002"/>
        <n v="309547.41600000003"/>
        <n v="307255.63199999998"/>
        <n v="332475.07199999999"/>
        <n v="254749.89600000001"/>
        <n v="309402.90725806454"/>
        <n v="320617.54800000001"/>
        <n v="316628.61599999998"/>
        <n v="303217.25255999999"/>
        <n v="317114.47200000001"/>
        <n v="285373.87199999997"/>
        <n v="319344.228"/>
        <n v="297576.924"/>
        <n v="227347.02325581395"/>
        <n v="293055.99599999998"/>
        <n v="276934.0581395349"/>
        <n v="304738.75199999998"/>
        <n v="371264.64"/>
        <n v="218224.84302325582"/>
        <n v="297447"/>
        <n v="344229.87599999999"/>
        <n v="312087"/>
        <n v="392985.44400000002"/>
        <n v="270111.91200000001"/>
        <n v="305531.05200000003"/>
        <n v="184782.75"/>
        <n v="171485.08333333334"/>
        <n v="165355.625"/>
        <n v="201484.08333333334"/>
        <n v="154484.79166666666"/>
        <n v="179290.5"/>
        <n v="114395.875"/>
        <n v="162916.375"/>
        <n v="195339.58333333334"/>
        <n v="153420.70833333334"/>
        <n v="162891.25"/>
        <n v="197831.83333333334"/>
        <n v="160292.75"/>
        <n v="174673.5"/>
        <n v="175939.66666666666"/>
        <n v="317582.08064516127"/>
        <n v="172814.45833333334"/>
        <n v="373958.90322580643"/>
        <n v="151503.375"/>
        <n v="199253.25"/>
        <n v="306029.74596774194"/>
        <n v="158462.5"/>
        <n v="189433.16666666666"/>
        <n v="214613.04166666666"/>
        <n v="149047.45833333334"/>
        <n v="171551.04166666666"/>
        <n v="169395.45833333334"/>
        <n v="191673.71428571429"/>
        <n v="169187.5"/>
        <n v="151959.78571428571"/>
        <n v="146899.64285714287"/>
        <n v="140892.67499999999"/>
        <n v="138294.47368421053"/>
        <n v="123523.27499999999"/>
        <n v="176205.28571428571"/>
        <n v="214662.07500000001"/>
        <n v="146695.92857142858"/>
        <n v="181447.35714285713"/>
        <n v="186618.42857142858"/>
        <n v="132434.4"/>
        <n v="150715.81578947368"/>
        <n v="156574.71428571429"/>
        <n v="175698.60810810811"/>
        <n v="136000.125"/>
        <n v="245902.33783783784"/>
        <n v="136906.35"/>
        <n v="184915"/>
        <n v="164917.05405405405"/>
        <n v="169602.64285714287"/>
        <n v="142665.52499999999"/>
        <n v="169004.64285714287"/>
        <n v="152445.64285714287"/>
        <n v="139738.28571428571"/>
        <n v="164252.5"/>
        <n v="173658.84782608695"/>
        <n v="202565.52272727274"/>
        <n v="176985.47727272726"/>
        <n v="106761.7"/>
        <n v="85302.9375"/>
        <n v="91838.5"/>
        <n v="81528.800000000003"/>
        <n v="72347.399999999994"/>
        <n v="74399.5"/>
        <n v="70214.7"/>
        <n v="87596.029411764699"/>
        <n v="97722.8"/>
        <n v="74922"/>
        <n v="81220.676470588238"/>
        <n v="89390.90625"/>
        <n v="92278.6"/>
        <n v="73525.8"/>
        <n v="82900.5"/>
        <n v="74667.3"/>
        <n v="81403.8"/>
        <n v="109058.91176470589"/>
        <n v="88698.088235294112"/>
        <n v="73537.899999999994"/>
        <n v="98102.5"/>
        <n v="84652.4"/>
        <n v="74926.3"/>
        <n v="91064.647058823524"/>
        <n v="81002.2"/>
        <n v="93536.5"/>
        <n v="70699.3"/>
        <n v="72081.100000000006"/>
        <n v="40723.699999999997"/>
        <n v="131161.91666666666"/>
        <n v="28882.9"/>
        <n v="76803.600000000006"/>
        <n v="33704.800000000003"/>
        <n v="65975.5"/>
        <n v="73574.899999999994"/>
        <n v="73657.2"/>
        <n v="46306.2"/>
        <n v="126504"/>
        <n v="63327.5"/>
        <n v="93654.088235294112"/>
        <n v="44353.5"/>
        <n v="144544.23529411765"/>
        <n v="49286.1"/>
        <n v="87671.7"/>
        <n v="87525.176470588238"/>
        <n v="82045.8"/>
        <n v="26979.4"/>
        <n v="79885.7"/>
        <n v="53250.6"/>
        <n v="51285.1"/>
        <n v="78991"/>
        <n v="153835.97368421053"/>
        <n v="128764.73684210527"/>
        <n v="128191.18421052632"/>
        <n v="125523"/>
        <n v="113456.21052631579"/>
        <n v="88571.131578947374"/>
        <n v="120540.15"/>
        <n v="166763.68421052632"/>
        <n v="118061.05263157895"/>
        <n v="115733.44736842105"/>
        <n v="132671.52631578947"/>
        <n v="125280.71052631579"/>
        <n v="119139.55263157895"/>
        <n v="83549.34375"/>
        <n v="100345.10526315789"/>
        <n v="100568.15625"/>
        <n v="113650.02631578948"/>
        <n v="162586.34210526315"/>
        <n v="77484.1875"/>
        <n v="125640.15"/>
        <n v="134741.05263157896"/>
        <n v="145645.81578947368"/>
        <n v="117682.10526315789"/>
        <n v="121491.39473684211"/>
        <n v="132995.21052631579"/>
        <n v="366361.57627118647"/>
        <n v="357879.63559322036"/>
        <n v="133063.07142857142"/>
        <n v="150266.70000000001"/>
        <n v="127960.575"/>
        <n v="394823.05"/>
        <n v="365764.3"/>
        <n v="325773.09999999998"/>
        <n v="325739.51694915252"/>
        <n v="411732.50847457629"/>
        <n v="386507.25"/>
        <n v="332633.28813559323"/>
        <n v="426498.83898305084"/>
        <n v="430734.76271186443"/>
        <n v="320086.32500000001"/>
        <n v="370888.25"/>
        <n v="365988.1"/>
        <n v="371515.85593220341"/>
        <n v="370430.80555555556"/>
        <n v="323954.55"/>
        <n v="449021.66949152545"/>
        <n v="390389.69491525425"/>
        <n v="476515.17499999999"/>
        <n v="348860.05932203389"/>
        <n v="381864.40677966102"/>
        <n v="421871.26271186443"/>
        <n v="404778.78813559323"/>
        <n v="380680.16949152545"/>
        <n v="332663.34999999998"/>
        <n v="413987.75"/>
        <n v="381297.63888888888"/>
        <n v="341649.83333333331"/>
        <n v="334922.19444444444"/>
        <n v="422163.47222222225"/>
        <n v="344924.47222222225"/>
        <n v="441784.16666666669"/>
        <n v="443584"/>
        <n v="346630.30555555556"/>
        <n v="389679.13888888888"/>
        <n v="396506.47222222225"/>
        <n v="386669.30555555556"/>
        <n v="347851.86111111112"/>
        <n v="365852.82203389832"/>
        <n v="472575.41666666669"/>
        <n v="415716.0254237288"/>
        <n v="409748.97222222225"/>
        <n v="496419"/>
        <n v="342262.22499999998"/>
        <n v="366794.94444444444"/>
        <n v="402601.11111111112"/>
        <n v="434143.05555555556"/>
        <n v="423075.52777777775"/>
        <n v="397463.38888888888"/>
        <n v="353168.83333333331"/>
        <n v="65434.6"/>
        <n v="66169.399999999994"/>
        <n v="383652.75"/>
        <n v="447258.88888888888"/>
        <n v="362019.19444444444"/>
        <n v="82271.90625"/>
        <n v="66282.970588235301"/>
        <n v="72345.5625"/>
        <n v="63720.1"/>
        <n v="60422.9"/>
        <n v="54457.3"/>
        <n v="119116.5"/>
        <n v="75629.600000000006"/>
        <n v="72818.5"/>
        <n v="65143"/>
        <n v="71632.323529411762"/>
        <n v="76371.7"/>
        <n v="78179.399999999994"/>
        <n v="54410"/>
        <n v="67771.100000000006"/>
        <n v="80966.166666666672"/>
        <n v="73705.833333333328"/>
        <n v="66967.399999999994"/>
        <n v="81103.8"/>
        <n v="69789.899999999994"/>
        <n v="64392"/>
        <n v="77014.583333333328"/>
        <n v="67247.583333333328"/>
        <n v="42423"/>
        <n v="54877"/>
        <n v="132667.92857142858"/>
        <n v="43415.8"/>
        <n v="99238.5"/>
        <n v="150787.57500000001"/>
        <n v="147193.78571428571"/>
        <n v="78139.25"/>
        <n v="118066.5"/>
        <n v="98508.583333333328"/>
        <n v="77080.166666666672"/>
        <n v="134589.5"/>
        <n v="128720.57142857143"/>
        <n v="144680.64285714287"/>
        <n v="140239.78571428571"/>
        <n v="123717.64285714286"/>
        <n v="159658.35"/>
        <n v="216163.98387096773"/>
        <n v="249305.32258064515"/>
        <n v="220320.04838709679"/>
        <n v="79078.333333333328"/>
        <n v="206410.30645161291"/>
        <n v="213216.5806451613"/>
        <n v="195279"/>
        <n v="221821.11290322582"/>
        <n v="105479.85"/>
        <n v="145504.95000000001"/>
        <n v="100774.2"/>
        <n v="73433.55"/>
        <n v="238294.06451612903"/>
        <n v="93642.75"/>
        <n v="98156.4"/>
        <n v="115057.95"/>
        <n v="127346.4"/>
        <n v="146206.65"/>
        <n v="170709"/>
        <n v="150675.6"/>
        <n v="205893.63157894736"/>
        <n v="136218.31578947368"/>
        <n v="128501.05263157895"/>
        <n v="155214.63157894736"/>
        <n v="162902.70000000001"/>
        <n v="226798.39534883722"/>
        <n v="228416.81395348837"/>
        <n v="216953.84765625"/>
        <n v="190916.53661976743"/>
        <n v="213451.81509767444"/>
        <n v="218459.62790697673"/>
        <n v="250808.76744186046"/>
        <n v="314797.2701612903"/>
        <n v="315986.98800000001"/>
        <n v="302909.26976707316"/>
        <n v="270252.64799999999"/>
        <n v="323776.27988372097"/>
        <n v="295015.10399999999"/>
        <n v="303705.20400000003"/>
        <n v="338171.016"/>
        <n v="166274.83333333334"/>
        <n v="165096.91666666666"/>
        <n v="156764.59459459459"/>
        <n v="143838.04166666666"/>
        <n v="436871.20161290321"/>
        <n v="161068.79166666666"/>
        <n v="149072.29166666666"/>
        <n v="174832"/>
        <n v="180040.57142857142"/>
        <n v="230515.85714285713"/>
        <n v="168054.39130434784"/>
        <n v="146649.07142857142"/>
        <n v="195362.02702702704"/>
        <n v="160006.42857142858"/>
        <n v="150784.71428571429"/>
        <n v="179631.35714285713"/>
        <n v="186754.36363636365"/>
        <n v="94299.088235294112"/>
        <n v="104372.29411764706"/>
        <n v="89800.5"/>
        <n v="73066.8"/>
        <n v="77885.15625"/>
        <n v="81566.100000000006"/>
        <n v="91365.5"/>
        <n v="80763.8"/>
        <n v="94127.3"/>
        <n v="97852.03125"/>
        <n v="72077.2"/>
        <n v="103804.05882352941"/>
        <n v="74343.100000000006"/>
        <n v="64233.5"/>
        <n v="74848.7"/>
        <n v="122927.77499999999"/>
        <n v="133721.84210526315"/>
        <n v="120903.21428571429"/>
        <n v="113913.94736842105"/>
        <n v="96813.75"/>
        <n v="122341.57894736843"/>
        <n v="117123.23684210527"/>
        <n v="130394.05263157895"/>
        <n v="142737.07500000001"/>
        <n v="378683.05932203389"/>
        <n v="373012.875"/>
        <n v="329921.56779661018"/>
        <n v="298652.40000000002"/>
        <n v="340373.92499999999"/>
        <n v="332373.92499999999"/>
        <n v="384753.7"/>
        <n v="388024.52777777775"/>
        <n v="385418.25"/>
        <n v="350262.86111111112"/>
        <n v="314282.05555555556"/>
        <n v="391871.92372881353"/>
        <n v="367687.44444444444"/>
        <n v="345203.66666666669"/>
        <n v="405468.41666666669"/>
        <n v="415113.91666666669"/>
        <n v="98240.571428571435"/>
        <n v="77709.5"/>
        <n v="43223.666666666664"/>
        <n v="58690.400000000001"/>
        <n v="76919.4375"/>
        <n v="70729.78125"/>
        <n v="68190"/>
        <n v="75011.083333333328"/>
        <n v="68482"/>
        <n v="121548.64285714286"/>
        <n v="114635.35714285714"/>
        <n v="79903.083333333328"/>
        <n v="71845.5"/>
      </sharedItems>
    </cacheField>
    <cacheField name="Неделя" numFmtId="0">
      <sharedItems containsSemiMixedTypes="0" containsString="0" containsNumber="1" containsInteger="1" minValue="18" maxValue="23" count="6">
        <n v="22"/>
        <n v="20"/>
        <n v="21"/>
        <n v="19"/>
        <n v="18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x v="0"/>
    <x v="0"/>
  </r>
  <r>
    <d v="2020-05-30T00:00:00"/>
    <x v="0"/>
    <n v="10029"/>
    <n v="787101"/>
    <n v="15"/>
    <n v="490"/>
    <n v="409"/>
    <x v="1"/>
    <x v="0"/>
  </r>
  <r>
    <d v="2020-05-28T00:00:00"/>
    <x v="0"/>
    <n v="8536.5"/>
    <n v="643944"/>
    <n v="15"/>
    <n v="464"/>
    <n v="390"/>
    <x v="2"/>
    <x v="0"/>
  </r>
  <r>
    <d v="2020-05-16T00:00:00"/>
    <x v="1"/>
    <n v="38947.5"/>
    <n v="3395892"/>
    <n v="21"/>
    <n v="2145"/>
    <n v="1947"/>
    <x v="3"/>
    <x v="1"/>
  </r>
  <r>
    <d v="2020-05-19T00:00:00"/>
    <x v="1"/>
    <n v="31842"/>
    <n v="2771116.5"/>
    <n v="21"/>
    <n v="1860"/>
    <n v="1704"/>
    <x v="4"/>
    <x v="2"/>
  </r>
  <r>
    <d v="2020-05-17T00:00:00"/>
    <x v="1"/>
    <n v="32023.5"/>
    <n v="2882458.5"/>
    <n v="21"/>
    <n v="1874"/>
    <n v="1705"/>
    <x v="5"/>
    <x v="1"/>
  </r>
  <r>
    <d v="2020-05-09T00:00:00"/>
    <x v="1"/>
    <n v="31147.5"/>
    <n v="2831019"/>
    <n v="21"/>
    <n v="1735"/>
    <n v="1568"/>
    <x v="6"/>
    <x v="3"/>
  </r>
  <r>
    <d v="2020-05-04T00:00:00"/>
    <x v="1"/>
    <n v="25566"/>
    <n v="2372310"/>
    <n v="20"/>
    <n v="1519"/>
    <n v="1372"/>
    <x v="7"/>
    <x v="3"/>
  </r>
  <r>
    <d v="2020-04-29T00:00:00"/>
    <x v="1"/>
    <n v="29319"/>
    <n v="2623480.5"/>
    <n v="18"/>
    <n v="1684"/>
    <n v="1528"/>
    <x v="8"/>
    <x v="4"/>
  </r>
  <r>
    <d v="2020-05-02T00:00:00"/>
    <x v="1"/>
    <n v="29031"/>
    <n v="2711247"/>
    <n v="18"/>
    <n v="1708"/>
    <n v="1534"/>
    <x v="9"/>
    <x v="4"/>
  </r>
  <r>
    <d v="2020-05-26T00:00:00"/>
    <x v="1"/>
    <n v="33423"/>
    <n v="2970330"/>
    <n v="20"/>
    <n v="2044"/>
    <n v="1863"/>
    <x v="10"/>
    <x v="0"/>
  </r>
  <r>
    <d v="2020-05-01T00:00:00"/>
    <x v="1"/>
    <n v="32487"/>
    <n v="3031254"/>
    <n v="18"/>
    <n v="1826"/>
    <n v="1633"/>
    <x v="11"/>
    <x v="4"/>
  </r>
  <r>
    <d v="2020-05-12T00:00:00"/>
    <x v="1"/>
    <n v="28219.5"/>
    <n v="2595778.5"/>
    <n v="21"/>
    <n v="1656"/>
    <n v="1516"/>
    <x v="12"/>
    <x v="1"/>
  </r>
  <r>
    <d v="2020-05-21T00:00:00"/>
    <x v="1"/>
    <n v="31272"/>
    <n v="2744382"/>
    <n v="21"/>
    <n v="1787"/>
    <n v="1626"/>
    <x v="13"/>
    <x v="2"/>
  </r>
  <r>
    <d v="2020-05-20T00:00:00"/>
    <x v="1"/>
    <n v="34077"/>
    <n v="2929330.5"/>
    <n v="21"/>
    <n v="1921"/>
    <n v="1767"/>
    <x v="14"/>
    <x v="2"/>
  </r>
  <r>
    <d v="2020-05-05T00:00:00"/>
    <x v="1"/>
    <n v="31566"/>
    <n v="2906763"/>
    <n v="20"/>
    <n v="1773"/>
    <n v="1604"/>
    <x v="15"/>
    <x v="3"/>
  </r>
  <r>
    <d v="2020-04-28T00:00:00"/>
    <x v="1"/>
    <n v="26940"/>
    <n v="2411587.5"/>
    <n v="18"/>
    <n v="1539"/>
    <n v="1404"/>
    <x v="16"/>
    <x v="4"/>
  </r>
  <r>
    <d v="2020-05-13T00:00:00"/>
    <x v="1"/>
    <n v="29241"/>
    <n v="2629782"/>
    <n v="21"/>
    <n v="1698"/>
    <n v="1554"/>
    <x v="17"/>
    <x v="1"/>
  </r>
  <r>
    <d v="2020-05-03T00:00:00"/>
    <x v="1"/>
    <n v="26082"/>
    <n v="2434914"/>
    <n v="20"/>
    <n v="1520"/>
    <n v="1373"/>
    <x v="18"/>
    <x v="4"/>
  </r>
  <r>
    <d v="2020-05-06T00:00:00"/>
    <x v="1"/>
    <n v="32511"/>
    <n v="2938623"/>
    <n v="20"/>
    <n v="1784"/>
    <n v="1632"/>
    <x v="19"/>
    <x v="3"/>
  </r>
  <r>
    <d v="2020-05-23T00:00:00"/>
    <x v="1"/>
    <n v="42703.5"/>
    <n v="3628726.5"/>
    <n v="21"/>
    <n v="2340"/>
    <n v="2146"/>
    <x v="20"/>
    <x v="2"/>
  </r>
  <r>
    <d v="2020-05-25T00:00:00"/>
    <x v="1"/>
    <n v="35592"/>
    <n v="3176580"/>
    <n v="20"/>
    <n v="2087"/>
    <n v="1914"/>
    <x v="21"/>
    <x v="0"/>
  </r>
  <r>
    <d v="2020-04-30T00:00:00"/>
    <x v="1"/>
    <n v="30445.5"/>
    <n v="2817196.5"/>
    <n v="19"/>
    <n v="1712"/>
    <n v="1552"/>
    <x v="22"/>
    <x v="4"/>
  </r>
  <r>
    <d v="2020-05-10T00:00:00"/>
    <x v="1"/>
    <n v="36619.5"/>
    <n v="3312967.5"/>
    <n v="21"/>
    <n v="2016"/>
    <n v="1846"/>
    <x v="23"/>
    <x v="3"/>
  </r>
  <r>
    <d v="2020-05-08T00:00:00"/>
    <x v="1"/>
    <n v="29409"/>
    <n v="2645160"/>
    <n v="21"/>
    <n v="1646"/>
    <n v="1492"/>
    <x v="24"/>
    <x v="3"/>
  </r>
  <r>
    <d v="2020-05-07T00:00:00"/>
    <x v="1"/>
    <n v="27018"/>
    <n v="2472213"/>
    <n v="21"/>
    <n v="1542"/>
    <n v="1405"/>
    <x v="25"/>
    <x v="3"/>
  </r>
  <r>
    <d v="2020-05-24T00:00:00"/>
    <x v="1"/>
    <n v="34303.5"/>
    <n v="2924746.5"/>
    <n v="20"/>
    <n v="1999"/>
    <n v="1829"/>
    <x v="26"/>
    <x v="2"/>
  </r>
  <r>
    <d v="2020-05-31T00:00:00"/>
    <x v="1"/>
    <n v="36999"/>
    <n v="3473895"/>
    <n v="21"/>
    <n v="2271"/>
    <n v="2085"/>
    <x v="27"/>
    <x v="0"/>
  </r>
  <r>
    <d v="2020-05-30T00:00:00"/>
    <x v="1"/>
    <n v="44001"/>
    <n v="3921784.5"/>
    <n v="20"/>
    <n v="2597"/>
    <n v="2376"/>
    <x v="28"/>
    <x v="0"/>
  </r>
  <r>
    <d v="2020-05-28T00:00:00"/>
    <x v="1"/>
    <n v="30982.5"/>
    <n v="2827773"/>
    <n v="20"/>
    <n v="1886"/>
    <n v="1736"/>
    <x v="29"/>
    <x v="0"/>
  </r>
  <r>
    <d v="2020-05-16T00:00:00"/>
    <x v="2"/>
    <n v="88063.5"/>
    <n v="7583758.5"/>
    <n v="31"/>
    <n v="5593"/>
    <n v="5177"/>
    <x v="30"/>
    <x v="1"/>
  </r>
  <r>
    <d v="2020-05-19T00:00:00"/>
    <x v="2"/>
    <n v="84024"/>
    <n v="6815511"/>
    <n v="31"/>
    <n v="5389"/>
    <n v="5024"/>
    <x v="31"/>
    <x v="2"/>
  </r>
  <r>
    <d v="2020-05-17T00:00:00"/>
    <x v="2"/>
    <n v="78057"/>
    <n v="6774946.5"/>
    <n v="31"/>
    <n v="5206"/>
    <n v="4843"/>
    <x v="32"/>
    <x v="1"/>
  </r>
  <r>
    <d v="2020-05-09T00:00:00"/>
    <x v="2"/>
    <n v="69720"/>
    <n v="6264933"/>
    <n v="31"/>
    <n v="4556"/>
    <n v="4220"/>
    <x v="33"/>
    <x v="3"/>
  </r>
  <r>
    <d v="2020-05-04T00:00:00"/>
    <x v="2"/>
    <n v="72928.5"/>
    <n v="6642249"/>
    <n v="31"/>
    <n v="4968"/>
    <n v="4596"/>
    <x v="34"/>
    <x v="3"/>
  </r>
  <r>
    <d v="2020-04-29T00:00:00"/>
    <x v="2"/>
    <n v="79527"/>
    <n v="7180498.5"/>
    <n v="31"/>
    <n v="5378"/>
    <n v="4985"/>
    <x v="35"/>
    <x v="4"/>
  </r>
  <r>
    <d v="2020-05-02T00:00:00"/>
    <x v="2"/>
    <n v="60463.5"/>
    <n v="5554192.5"/>
    <n v="31"/>
    <n v="4157"/>
    <n v="3823"/>
    <x v="36"/>
    <x v="4"/>
  </r>
  <r>
    <d v="2020-05-26T00:00:00"/>
    <x v="2"/>
    <n v="79975.5"/>
    <n v="6676459.5"/>
    <n v="31"/>
    <n v="5493"/>
    <n v="5119"/>
    <x v="37"/>
    <x v="0"/>
  </r>
  <r>
    <d v="2020-05-01T00:00:00"/>
    <x v="2"/>
    <n v="97534.5"/>
    <n v="8893024.5"/>
    <n v="31"/>
    <n v="6118"/>
    <n v="5564"/>
    <x v="38"/>
    <x v="4"/>
  </r>
  <r>
    <d v="2020-05-12T00:00:00"/>
    <x v="2"/>
    <n v="71520"/>
    <n v="6398361"/>
    <n v="31"/>
    <n v="4800"/>
    <n v="4470"/>
    <x v="39"/>
    <x v="1"/>
  </r>
  <r>
    <d v="2020-05-21T00:00:00"/>
    <x v="2"/>
    <n v="79485"/>
    <n v="6633847.5"/>
    <n v="31"/>
    <n v="5207"/>
    <n v="4868"/>
    <x v="40"/>
    <x v="2"/>
  </r>
  <r>
    <d v="2020-05-20T00:00:00"/>
    <x v="2"/>
    <n v="93313.5"/>
    <n v="7247575.5"/>
    <n v="31"/>
    <n v="5698"/>
    <n v="5258"/>
    <x v="41"/>
    <x v="2"/>
  </r>
  <r>
    <d v="2020-05-05T00:00:00"/>
    <x v="2"/>
    <n v="76585.5"/>
    <n v="6921316.5"/>
    <n v="31"/>
    <n v="5188"/>
    <n v="4800"/>
    <x v="42"/>
    <x v="3"/>
  </r>
  <r>
    <d v="2020-04-28T00:00:00"/>
    <x v="2"/>
    <n v="81826.5"/>
    <n v="7163644.5"/>
    <n v="31"/>
    <n v="5465"/>
    <n v="5096"/>
    <x v="43"/>
    <x v="4"/>
  </r>
  <r>
    <d v="2020-05-13T00:00:00"/>
    <x v="2"/>
    <n v="78846"/>
    <n v="6993952.5"/>
    <n v="31"/>
    <n v="5251"/>
    <n v="4853"/>
    <x v="44"/>
    <x v="1"/>
  </r>
  <r>
    <d v="2020-05-03T00:00:00"/>
    <x v="2"/>
    <n v="77263.5"/>
    <n v="7013670"/>
    <n v="31"/>
    <n v="5155"/>
    <n v="4762"/>
    <x v="45"/>
    <x v="4"/>
  </r>
  <r>
    <d v="2020-05-06T00:00:00"/>
    <x v="2"/>
    <n v="68994"/>
    <n v="6168657"/>
    <n v="31"/>
    <n v="4709"/>
    <n v="4348"/>
    <x v="46"/>
    <x v="3"/>
  </r>
  <r>
    <d v="2020-05-23T00:00:00"/>
    <x v="2"/>
    <n v="102889.5"/>
    <n v="8089143"/>
    <n v="31"/>
    <n v="6276"/>
    <n v="5801"/>
    <x v="47"/>
    <x v="2"/>
  </r>
  <r>
    <d v="2020-05-25T00:00:00"/>
    <x v="2"/>
    <n v="76999.5"/>
    <n v="6645603"/>
    <n v="31"/>
    <n v="5210"/>
    <n v="4841"/>
    <x v="48"/>
    <x v="0"/>
  </r>
  <r>
    <d v="2020-04-30T00:00:00"/>
    <x v="2"/>
    <n v="77565"/>
    <n v="7023727.5"/>
    <n v="31"/>
    <n v="5120"/>
    <n v="4737"/>
    <x v="49"/>
    <x v="4"/>
  </r>
  <r>
    <d v="2020-05-10T00:00:00"/>
    <x v="2"/>
    <n v="84132"/>
    <n v="7483194"/>
    <n v="31"/>
    <n v="5495"/>
    <n v="5093"/>
    <x v="50"/>
    <x v="3"/>
  </r>
  <r>
    <d v="2020-05-08T00:00:00"/>
    <x v="2"/>
    <n v="69544.5"/>
    <n v="6293776.5"/>
    <n v="31"/>
    <n v="4635"/>
    <n v="4266"/>
    <x v="51"/>
    <x v="3"/>
  </r>
  <r>
    <d v="2020-05-07T00:00:00"/>
    <x v="2"/>
    <n v="73204.5"/>
    <n v="6591883.5"/>
    <n v="31"/>
    <n v="4903"/>
    <n v="4527"/>
    <x v="52"/>
    <x v="3"/>
  </r>
  <r>
    <d v="2020-05-24T00:00:00"/>
    <x v="2"/>
    <n v="76663.5"/>
    <n v="6451032"/>
    <n v="31"/>
    <n v="5035"/>
    <n v="4683"/>
    <x v="53"/>
    <x v="2"/>
  </r>
  <r>
    <d v="2020-05-16T00:00:00"/>
    <x v="3"/>
    <n v="14265"/>
    <n v="1130506.5"/>
    <n v="10"/>
    <n v="760"/>
    <n v="672"/>
    <x v="54"/>
    <x v="1"/>
  </r>
  <r>
    <d v="2020-05-19T00:00:00"/>
    <x v="3"/>
    <n v="11526"/>
    <n v="938764.5"/>
    <n v="10"/>
    <n v="649"/>
    <n v="568"/>
    <x v="55"/>
    <x v="2"/>
  </r>
  <r>
    <d v="2020-05-17T00:00:00"/>
    <x v="3"/>
    <n v="10402.5"/>
    <n v="843727.5"/>
    <n v="10"/>
    <n v="591"/>
    <n v="513"/>
    <x v="56"/>
    <x v="1"/>
  </r>
  <r>
    <d v="2020-05-09T00:00:00"/>
    <x v="3"/>
    <n v="13216.5"/>
    <n v="1046400"/>
    <n v="10"/>
    <n v="644"/>
    <n v="559"/>
    <x v="57"/>
    <x v="3"/>
  </r>
  <r>
    <d v="2020-05-04T00:00:00"/>
    <x v="3"/>
    <n v="9130.5"/>
    <n v="728890.5"/>
    <n v="10"/>
    <n v="462"/>
    <n v="396"/>
    <x v="58"/>
    <x v="3"/>
  </r>
  <r>
    <d v="2020-04-29T00:00:00"/>
    <x v="3"/>
    <n v="10840.5"/>
    <n v="797919"/>
    <n v="10"/>
    <n v="502"/>
    <n v="433"/>
    <x v="59"/>
    <x v="4"/>
  </r>
  <r>
    <d v="2020-05-02T00:00:00"/>
    <x v="3"/>
    <n v="7866"/>
    <n v="617881.5"/>
    <n v="10"/>
    <n v="416"/>
    <n v="341"/>
    <x v="60"/>
    <x v="4"/>
  </r>
  <r>
    <d v="2020-05-26T00:00:00"/>
    <x v="3"/>
    <n v="11835"/>
    <n v="983109"/>
    <n v="10"/>
    <n v="692"/>
    <n v="601"/>
    <x v="61"/>
    <x v="0"/>
  </r>
  <r>
    <d v="2020-05-01T00:00:00"/>
    <x v="3"/>
    <n v="11619"/>
    <n v="891139.5"/>
    <n v="10"/>
    <n v="554"/>
    <n v="472"/>
    <x v="62"/>
    <x v="4"/>
  </r>
  <r>
    <d v="2020-05-12T00:00:00"/>
    <x v="3"/>
    <n v="9328.5"/>
    <n v="732964.5"/>
    <n v="10"/>
    <n v="526"/>
    <n v="448"/>
    <x v="63"/>
    <x v="1"/>
  </r>
  <r>
    <d v="2020-05-21T00:00:00"/>
    <x v="3"/>
    <n v="11250"/>
    <n v="935523"/>
    <n v="10"/>
    <n v="677"/>
    <n v="591"/>
    <x v="64"/>
    <x v="2"/>
  </r>
  <r>
    <d v="2020-05-20T00:00:00"/>
    <x v="3"/>
    <n v="13063.5"/>
    <n v="1037247"/>
    <n v="10"/>
    <n v="745"/>
    <n v="654"/>
    <x v="65"/>
    <x v="2"/>
  </r>
  <r>
    <d v="2020-05-05T00:00:00"/>
    <x v="3"/>
    <n v="10147.5"/>
    <n v="793320"/>
    <n v="10"/>
    <n v="511"/>
    <n v="437"/>
    <x v="66"/>
    <x v="3"/>
  </r>
  <r>
    <d v="2020-04-28T00:00:00"/>
    <x v="3"/>
    <n v="12331.5"/>
    <n v="869983.5"/>
    <n v="10"/>
    <n v="580"/>
    <n v="506"/>
    <x v="67"/>
    <x v="4"/>
  </r>
  <r>
    <d v="2020-05-13T00:00:00"/>
    <x v="3"/>
    <n v="11202"/>
    <n v="865714.5"/>
    <n v="10"/>
    <n v="612"/>
    <n v="530"/>
    <x v="68"/>
    <x v="1"/>
  </r>
  <r>
    <d v="2020-05-31T00:00:00"/>
    <x v="2"/>
    <n v="89149.5"/>
    <n v="7512646.5"/>
    <n v="31"/>
    <n v="5760"/>
    <n v="5367"/>
    <x v="69"/>
    <x v="0"/>
  </r>
  <r>
    <d v="2020-05-03T00:00:00"/>
    <x v="3"/>
    <n v="8185.5"/>
    <n v="637881"/>
    <n v="10"/>
    <n v="402"/>
    <n v="333"/>
    <x v="70"/>
    <x v="4"/>
  </r>
  <r>
    <d v="2020-05-30T00:00:00"/>
    <x v="2"/>
    <n v="108123"/>
    <n v="9164707.5"/>
    <n v="31"/>
    <n v="6735"/>
    <n v="6264"/>
    <x v="71"/>
    <x v="0"/>
  </r>
  <r>
    <d v="2020-05-06T00:00:00"/>
    <x v="3"/>
    <n v="9210"/>
    <n v="696832.5"/>
    <n v="10"/>
    <n v="465"/>
    <n v="390"/>
    <x v="72"/>
    <x v="3"/>
  </r>
  <r>
    <d v="2020-05-23T00:00:00"/>
    <x v="3"/>
    <n v="14773.5"/>
    <n v="1241383.5"/>
    <n v="10"/>
    <n v="828"/>
    <n v="734"/>
    <x v="73"/>
    <x v="2"/>
  </r>
  <r>
    <d v="2020-05-28T00:00:00"/>
    <x v="2"/>
    <n v="78141"/>
    <n v="6641569.5"/>
    <n v="31"/>
    <n v="5355"/>
    <n v="4969"/>
    <x v="74"/>
    <x v="0"/>
  </r>
  <r>
    <d v="2020-05-25T00:00:00"/>
    <x v="3"/>
    <n v="12280.5"/>
    <n v="1030440"/>
    <n v="10"/>
    <n v="739"/>
    <n v="642"/>
    <x v="75"/>
    <x v="0"/>
  </r>
  <r>
    <d v="2020-04-30T00:00:00"/>
    <x v="3"/>
    <n v="8934"/>
    <n v="716196"/>
    <n v="10"/>
    <n v="448"/>
    <n v="376"/>
    <x v="76"/>
    <x v="4"/>
  </r>
  <r>
    <d v="2020-05-10T00:00:00"/>
    <x v="3"/>
    <n v="12918"/>
    <n v="1004788.5"/>
    <n v="10"/>
    <n v="642"/>
    <n v="556"/>
    <x v="77"/>
    <x v="3"/>
  </r>
  <r>
    <d v="2020-05-08T00:00:00"/>
    <x v="3"/>
    <n v="12528"/>
    <n v="959703"/>
    <n v="10"/>
    <n v="638"/>
    <n v="547"/>
    <x v="78"/>
    <x v="3"/>
  </r>
  <r>
    <d v="2020-05-07T00:00:00"/>
    <x v="3"/>
    <n v="11029.5"/>
    <n v="863754"/>
    <n v="10"/>
    <n v="563"/>
    <n v="486"/>
    <x v="79"/>
    <x v="3"/>
  </r>
  <r>
    <d v="2020-05-24T00:00:00"/>
    <x v="3"/>
    <n v="9994.5"/>
    <n v="828984"/>
    <n v="10"/>
    <n v="639"/>
    <n v="557"/>
    <x v="80"/>
    <x v="2"/>
  </r>
  <r>
    <d v="2020-05-31T00:00:00"/>
    <x v="3"/>
    <n v="12724.5"/>
    <n v="1045515"/>
    <n v="10"/>
    <n v="749"/>
    <n v="655"/>
    <x v="81"/>
    <x v="0"/>
  </r>
  <r>
    <d v="2020-05-30T00:00:00"/>
    <x v="3"/>
    <n v="14728.5"/>
    <n v="1260483"/>
    <n v="10"/>
    <n v="865"/>
    <n v="763"/>
    <x v="82"/>
    <x v="0"/>
  </r>
  <r>
    <d v="2020-05-28T00:00:00"/>
    <x v="3"/>
    <n v="13038"/>
    <n v="1114552.5"/>
    <n v="10"/>
    <n v="791"/>
    <n v="697"/>
    <x v="83"/>
    <x v="0"/>
  </r>
  <r>
    <d v="2020-05-16T00:00:00"/>
    <x v="4"/>
    <n v="35482.5"/>
    <n v="3222517.5"/>
    <n v="19"/>
    <n v="2080"/>
    <n v="1844"/>
    <x v="84"/>
    <x v="1"/>
  </r>
  <r>
    <d v="2020-05-19T00:00:00"/>
    <x v="4"/>
    <n v="32434.5"/>
    <n v="2865337.5"/>
    <n v="19"/>
    <n v="1999"/>
    <n v="1799"/>
    <x v="85"/>
    <x v="2"/>
  </r>
  <r>
    <d v="2020-05-17T00:00:00"/>
    <x v="4"/>
    <n v="30486"/>
    <n v="2694289.5"/>
    <n v="19"/>
    <n v="1871"/>
    <n v="1660"/>
    <x v="86"/>
    <x v="1"/>
  </r>
  <r>
    <d v="2020-05-09T00:00:00"/>
    <x v="4"/>
    <n v="32079"/>
    <n v="2902167"/>
    <n v="19"/>
    <n v="1851"/>
    <n v="1635"/>
    <x v="87"/>
    <x v="3"/>
  </r>
  <r>
    <d v="2020-05-04T00:00:00"/>
    <x v="4"/>
    <n v="27072"/>
    <n v="2450968.5"/>
    <n v="19"/>
    <n v="1582"/>
    <n v="1403"/>
    <x v="88"/>
    <x v="3"/>
  </r>
  <r>
    <d v="2020-04-29T00:00:00"/>
    <x v="4"/>
    <n v="25917"/>
    <n v="2397588"/>
    <n v="18"/>
    <n v="1534"/>
    <n v="1369"/>
    <x v="89"/>
    <x v="4"/>
  </r>
  <r>
    <d v="2020-05-02T00:00:00"/>
    <x v="4"/>
    <n v="19461"/>
    <n v="1799230.5"/>
    <n v="19"/>
    <n v="1217"/>
    <n v="1048"/>
    <x v="90"/>
    <x v="4"/>
  </r>
  <r>
    <d v="2020-05-26T00:00:00"/>
    <x v="4"/>
    <n v="31407"/>
    <n v="2907411"/>
    <n v="20"/>
    <n v="2036"/>
    <n v="1790"/>
    <x v="91"/>
    <x v="0"/>
  </r>
  <r>
    <d v="2020-05-01T00:00:00"/>
    <x v="4"/>
    <n v="25792.5"/>
    <n v="2374356"/>
    <n v="19"/>
    <n v="1497"/>
    <n v="1291"/>
    <x v="92"/>
    <x v="4"/>
  </r>
  <r>
    <d v="2020-05-12T00:00:00"/>
    <x v="4"/>
    <n v="26032.5"/>
    <n v="2370432"/>
    <n v="19"/>
    <n v="1649"/>
    <n v="1460"/>
    <x v="93"/>
    <x v="1"/>
  </r>
  <r>
    <d v="2020-05-21T00:00:00"/>
    <x v="4"/>
    <n v="31707"/>
    <n v="2853181.5"/>
    <n v="19"/>
    <n v="1949"/>
    <n v="1724"/>
    <x v="94"/>
    <x v="2"/>
  </r>
  <r>
    <d v="2020-05-20T00:00:00"/>
    <x v="4"/>
    <n v="29955"/>
    <n v="2692230"/>
    <n v="19"/>
    <n v="1889"/>
    <n v="1690"/>
    <x v="95"/>
    <x v="2"/>
  </r>
  <r>
    <d v="2020-05-05T00:00:00"/>
    <x v="4"/>
    <n v="22848"/>
    <n v="2079900"/>
    <n v="19"/>
    <n v="1417"/>
    <n v="1245"/>
    <x v="96"/>
    <x v="3"/>
  </r>
  <r>
    <d v="2020-04-28T00:00:00"/>
    <x v="4"/>
    <n v="23314.5"/>
    <n v="2136817.5"/>
    <n v="17"/>
    <n v="1439"/>
    <n v="1265"/>
    <x v="97"/>
    <x v="4"/>
  </r>
  <r>
    <d v="2020-05-13T00:00:00"/>
    <x v="4"/>
    <n v="26464.5"/>
    <n v="2373337.5"/>
    <n v="19"/>
    <n v="1625"/>
    <n v="1444"/>
    <x v="98"/>
    <x v="1"/>
  </r>
  <r>
    <d v="2020-05-03T00:00:00"/>
    <x v="4"/>
    <n v="23539.5"/>
    <n v="2170309.5"/>
    <n v="19"/>
    <n v="1402"/>
    <n v="1234"/>
    <x v="99"/>
    <x v="4"/>
  </r>
  <r>
    <d v="2020-05-06T00:00:00"/>
    <x v="4"/>
    <n v="24678"/>
    <n v="2232519"/>
    <n v="19"/>
    <n v="1499"/>
    <n v="1323"/>
    <x v="100"/>
    <x v="3"/>
  </r>
  <r>
    <d v="2020-05-23T00:00:00"/>
    <x v="4"/>
    <n v="38176.5"/>
    <n v="3385372.5"/>
    <n v="20"/>
    <n v="2266"/>
    <n v="1993"/>
    <x v="101"/>
    <x v="2"/>
  </r>
  <r>
    <d v="2020-05-25T00:00:00"/>
    <x v="4"/>
    <n v="30603"/>
    <n v="2865727.5"/>
    <n v="20"/>
    <n v="2011"/>
    <n v="1791"/>
    <x v="102"/>
    <x v="0"/>
  </r>
  <r>
    <d v="2020-04-30T00:00:00"/>
    <x v="4"/>
    <n v="24211.5"/>
    <n v="2267664"/>
    <n v="19"/>
    <n v="1499"/>
    <n v="1322"/>
    <x v="103"/>
    <x v="4"/>
  </r>
  <r>
    <d v="2020-05-10T00:00:00"/>
    <x v="4"/>
    <n v="31399.5"/>
    <n v="2862298.5"/>
    <n v="19"/>
    <n v="1848"/>
    <n v="1649"/>
    <x v="104"/>
    <x v="3"/>
  </r>
  <r>
    <d v="2020-05-08T00:00:00"/>
    <x v="4"/>
    <n v="25294.5"/>
    <n v="2271454.5"/>
    <n v="19"/>
    <n v="1522"/>
    <n v="1340"/>
    <x v="105"/>
    <x v="3"/>
  </r>
  <r>
    <d v="2020-05-07T00:00:00"/>
    <x v="4"/>
    <n v="25468.5"/>
    <n v="2350672.5"/>
    <n v="19"/>
    <n v="1530"/>
    <n v="1338"/>
    <x v="106"/>
    <x v="3"/>
  </r>
  <r>
    <d v="2020-05-24T00:00:00"/>
    <x v="4"/>
    <n v="31854"/>
    <n v="2915533.5"/>
    <n v="20"/>
    <n v="2015"/>
    <n v="1803"/>
    <x v="107"/>
    <x v="2"/>
  </r>
  <r>
    <d v="2020-05-31T00:00:00"/>
    <x v="4"/>
    <n v="32359.5"/>
    <n v="2991999"/>
    <n v="20"/>
    <n v="2060"/>
    <n v="1826"/>
    <x v="108"/>
    <x v="0"/>
  </r>
  <r>
    <d v="2020-05-30T00:00:00"/>
    <x v="4"/>
    <n v="39867"/>
    <n v="3654166.5"/>
    <n v="20"/>
    <n v="2451"/>
    <n v="2178"/>
    <x v="109"/>
    <x v="0"/>
  </r>
  <r>
    <d v="2020-05-28T00:00:00"/>
    <x v="4"/>
    <n v="31974"/>
    <n v="3004213.5"/>
    <n v="20"/>
    <n v="2088"/>
    <n v="1848"/>
    <x v="110"/>
    <x v="0"/>
  </r>
  <r>
    <d v="2020-05-16T00:00:00"/>
    <x v="5"/>
    <n v="321412.5"/>
    <n v="32235864"/>
    <n v="129"/>
    <n v="17914"/>
    <n v="16631"/>
    <x v="111"/>
    <x v="1"/>
  </r>
  <r>
    <d v="2020-05-19T00:00:00"/>
    <x v="5"/>
    <n v="276568.5"/>
    <n v="27093624"/>
    <n v="129"/>
    <n v="16191"/>
    <n v="15102"/>
    <x v="112"/>
    <x v="2"/>
  </r>
  <r>
    <d v="2020-05-17T00:00:00"/>
    <x v="5"/>
    <n v="269029.5"/>
    <n v="26659930.5"/>
    <n v="129"/>
    <n v="15744"/>
    <n v="14685"/>
    <x v="113"/>
    <x v="1"/>
  </r>
  <r>
    <d v="2020-05-09T00:00:00"/>
    <x v="5"/>
    <n v="285972"/>
    <n v="29768199"/>
    <n v="129"/>
    <n v="16420"/>
    <n v="15169"/>
    <x v="114"/>
    <x v="3"/>
  </r>
  <r>
    <d v="2020-05-04T00:00:00"/>
    <x v="5"/>
    <n v="283942.5"/>
    <n v="29357940"/>
    <n v="129"/>
    <n v="16525"/>
    <n v="15310"/>
    <x v="115"/>
    <x v="3"/>
  </r>
  <r>
    <d v="2020-04-29T00:00:00"/>
    <x v="5"/>
    <n v="298059"/>
    <n v="30869287.5"/>
    <n v="128"/>
    <n v="17368"/>
    <n v="16077"/>
    <x v="116"/>
    <x v="4"/>
  </r>
  <r>
    <d v="2020-05-02T00:00:00"/>
    <x v="5"/>
    <n v="232903.5"/>
    <n v="24342016.5"/>
    <n v="129"/>
    <n v="14009"/>
    <n v="12920"/>
    <x v="117"/>
    <x v="4"/>
  </r>
  <r>
    <d v="2020-05-26T00:00:00"/>
    <x v="5"/>
    <n v="276966"/>
    <n v="27872617.898850001"/>
    <n v="129"/>
    <n v="16459"/>
    <n v="15355"/>
    <x v="118"/>
    <x v="0"/>
  </r>
  <r>
    <d v="2020-05-01T00:00:00"/>
    <x v="5"/>
    <n v="296149.5"/>
    <n v="31053316.5"/>
    <n v="129"/>
    <n v="17002"/>
    <n v="15570"/>
    <x v="119"/>
    <x v="4"/>
  </r>
  <r>
    <d v="2020-05-12T00:00:00"/>
    <x v="5"/>
    <n v="281796"/>
    <n v="29042520"/>
    <n v="129"/>
    <n v="16387"/>
    <n v="15322"/>
    <x v="120"/>
    <x v="1"/>
  </r>
  <r>
    <d v="2020-05-21T00:00:00"/>
    <x v="5"/>
    <n v="288936"/>
    <n v="27852900"/>
    <n v="129"/>
    <n v="16373"/>
    <n v="15223"/>
    <x v="121"/>
    <x v="2"/>
  </r>
  <r>
    <d v="2020-05-20T00:00:00"/>
    <x v="5"/>
    <n v="300151.5"/>
    <n v="29368771.617449999"/>
    <n v="129"/>
    <n v="17095"/>
    <n v="15919"/>
    <x v="122"/>
    <x v="2"/>
  </r>
  <r>
    <d v="2020-05-05T00:00:00"/>
    <x v="5"/>
    <n v="262734"/>
    <n v="27278441.145"/>
    <n v="129"/>
    <n v="15665"/>
    <n v="14501"/>
    <x v="123"/>
    <x v="3"/>
  </r>
  <r>
    <d v="2020-04-28T00:00:00"/>
    <x v="5"/>
    <n v="286002"/>
    <n v="29159032.5"/>
    <n v="128"/>
    <n v="16450"/>
    <n v="15320"/>
    <x v="124"/>
    <x v="4"/>
  </r>
  <r>
    <d v="2020-05-13T00:00:00"/>
    <x v="5"/>
    <n v="258459"/>
    <n v="26467453.5"/>
    <n v="129"/>
    <n v="15304"/>
    <n v="14315"/>
    <x v="125"/>
    <x v="1"/>
  </r>
  <r>
    <d v="2020-05-03T00:00:00"/>
    <x v="5"/>
    <n v="274083"/>
    <n v="28427001"/>
    <n v="129"/>
    <n v="15778"/>
    <n v="14624"/>
    <x v="126"/>
    <x v="4"/>
  </r>
  <r>
    <d v="2020-05-06T00:00:00"/>
    <x v="5"/>
    <n v="277512"/>
    <n v="28770810.105599999"/>
    <n v="129"/>
    <n v="16376"/>
    <n v="15197"/>
    <x v="127"/>
    <x v="3"/>
  </r>
  <r>
    <d v="2020-05-23T00:00:00"/>
    <x v="5"/>
    <n v="356982"/>
    <n v="35103926.711549997"/>
    <n v="129"/>
    <n v="19856"/>
    <n v="18325"/>
    <x v="128"/>
    <x v="2"/>
  </r>
  <r>
    <d v="2020-05-25T00:00:00"/>
    <x v="5"/>
    <n v="266983.5"/>
    <n v="27165913.5"/>
    <n v="129"/>
    <n v="15822"/>
    <n v="14753"/>
    <x v="129"/>
    <x v="0"/>
  </r>
  <r>
    <d v="2020-04-30T00:00:00"/>
    <x v="5"/>
    <n v="311131.5"/>
    <n v="32418879"/>
    <n v="129"/>
    <n v="18042"/>
    <n v="16631"/>
    <x v="130"/>
    <x v="4"/>
  </r>
  <r>
    <d v="2020-05-10T00:00:00"/>
    <x v="5"/>
    <n v="287206.5"/>
    <n v="29536176.10605"/>
    <n v="129"/>
    <n v="16437"/>
    <n v="15285"/>
    <x v="131"/>
    <x v="3"/>
  </r>
  <r>
    <d v="2020-05-08T00:00:00"/>
    <x v="5"/>
    <n v="370092"/>
    <n v="38091556.5"/>
    <n v="129"/>
    <n v="20452"/>
    <n v="18857"/>
    <x v="132"/>
    <x v="3"/>
  </r>
  <r>
    <d v="2020-05-07T00:00:00"/>
    <x v="5"/>
    <n v="247813.5"/>
    <n v="25325271"/>
    <n v="129"/>
    <n v="14582"/>
    <n v="13512"/>
    <x v="133"/>
    <x v="3"/>
  </r>
  <r>
    <d v="2020-05-24T00:00:00"/>
    <x v="5"/>
    <n v="287740.5"/>
    <n v="28188534"/>
    <n v="129"/>
    <n v="16432"/>
    <n v="15345"/>
    <x v="134"/>
    <x v="2"/>
  </r>
  <r>
    <d v="2020-05-16T00:00:00"/>
    <x v="6"/>
    <n v="408810"/>
    <n v="42323631"/>
    <n v="125"/>
    <n v="22291"/>
    <n v="20635"/>
    <x v="135"/>
    <x v="1"/>
  </r>
  <r>
    <d v="2020-05-19T00:00:00"/>
    <x v="6"/>
    <n v="362536.5"/>
    <n v="37023243"/>
    <n v="125"/>
    <n v="20771"/>
    <n v="19338"/>
    <x v="136"/>
    <x v="2"/>
  </r>
  <r>
    <d v="2020-05-17T00:00:00"/>
    <x v="6"/>
    <n v="357072"/>
    <n v="36834567"/>
    <n v="125"/>
    <n v="20079"/>
    <n v="18721"/>
    <x v="137"/>
    <x v="1"/>
  </r>
  <r>
    <d v="2020-05-09T00:00:00"/>
    <x v="6"/>
    <n v="359214"/>
    <n v="38693427"/>
    <n v="125"/>
    <n v="20132"/>
    <n v="18617"/>
    <x v="138"/>
    <x v="3"/>
  </r>
  <r>
    <d v="2020-05-04T00:00:00"/>
    <x v="6"/>
    <n v="360255"/>
    <n v="38406954"/>
    <n v="125"/>
    <n v="20495"/>
    <n v="18964"/>
    <x v="139"/>
    <x v="3"/>
  </r>
  <r>
    <d v="2020-04-29T00:00:00"/>
    <x v="6"/>
    <n v="387220.5"/>
    <n v="41559384"/>
    <n v="125"/>
    <n v="21863"/>
    <n v="20160"/>
    <x v="140"/>
    <x v="4"/>
  </r>
  <r>
    <d v="2020-05-02T00:00:00"/>
    <x v="6"/>
    <n v="296580"/>
    <n v="31843737"/>
    <n v="125"/>
    <n v="16932"/>
    <n v="15601"/>
    <x v="141"/>
    <x v="4"/>
  </r>
  <r>
    <d v="2020-05-26T00:00:00"/>
    <x v="6"/>
    <n v="369861"/>
    <n v="38365960.5"/>
    <n v="124"/>
    <n v="21153"/>
    <n v="19673"/>
    <x v="142"/>
    <x v="0"/>
  </r>
  <r>
    <d v="2020-05-01T00:00:00"/>
    <x v="6"/>
    <n v="372504"/>
    <n v="40077193.5"/>
    <n v="125"/>
    <n v="20602"/>
    <n v="18845"/>
    <x v="143"/>
    <x v="4"/>
  </r>
  <r>
    <d v="2020-05-12T00:00:00"/>
    <x v="6"/>
    <n v="373392"/>
    <n v="39578577"/>
    <n v="125"/>
    <n v="21106"/>
    <n v="19651"/>
    <x v="144"/>
    <x v="1"/>
  </r>
  <r>
    <d v="2020-05-21T00:00:00"/>
    <x v="6"/>
    <n v="378043.5"/>
    <n v="37902156.57"/>
    <n v="125"/>
    <n v="20911"/>
    <n v="19358"/>
    <x v="145"/>
    <x v="2"/>
  </r>
  <r>
    <d v="2020-05-20T00:00:00"/>
    <x v="6"/>
    <n v="388668"/>
    <n v="39639309"/>
    <n v="125"/>
    <n v="21674"/>
    <n v="20155"/>
    <x v="146"/>
    <x v="2"/>
  </r>
  <r>
    <d v="2020-05-05T00:00:00"/>
    <x v="6"/>
    <n v="333792"/>
    <n v="35671734"/>
    <n v="125"/>
    <n v="18944"/>
    <n v="17541"/>
    <x v="147"/>
    <x v="3"/>
  </r>
  <r>
    <d v="2020-04-28T00:00:00"/>
    <x v="6"/>
    <n v="376060.5"/>
    <n v="39918028.5"/>
    <n v="125"/>
    <n v="20914"/>
    <n v="19479"/>
    <x v="148"/>
    <x v="4"/>
  </r>
  <r>
    <d v="2020-05-13T00:00:00"/>
    <x v="6"/>
    <n v="350068.5"/>
    <n v="37197115.5"/>
    <n v="125"/>
    <n v="19965"/>
    <n v="18573"/>
    <x v="149"/>
    <x v="1"/>
  </r>
  <r>
    <d v="2020-05-31T00:00:00"/>
    <x v="5"/>
    <n v="294337.5"/>
    <n v="29327766"/>
    <n v="129"/>
    <n v="17235"/>
    <n v="16052"/>
    <x v="150"/>
    <x v="0"/>
  </r>
  <r>
    <d v="2020-05-03T00:00:00"/>
    <x v="6"/>
    <n v="342666"/>
    <n v="36631999.5"/>
    <n v="125"/>
    <n v="18861"/>
    <n v="17420"/>
    <x v="151"/>
    <x v="4"/>
  </r>
  <r>
    <d v="2020-05-30T00:00:00"/>
    <x v="5"/>
    <n v="364882.5"/>
    <n v="35724493.5"/>
    <n v="129"/>
    <n v="20243"/>
    <n v="18711"/>
    <x v="152"/>
    <x v="0"/>
  </r>
  <r>
    <d v="2020-05-06T00:00:00"/>
    <x v="6"/>
    <n v="355278"/>
    <n v="38092344"/>
    <n v="125"/>
    <n v="20218"/>
    <n v="18647"/>
    <x v="153"/>
    <x v="3"/>
  </r>
  <r>
    <d v="2020-05-23T00:00:00"/>
    <x v="6"/>
    <n v="456885"/>
    <n v="46408080"/>
    <n v="125"/>
    <n v="24574"/>
    <n v="22609"/>
    <x v="154"/>
    <x v="2"/>
  </r>
  <r>
    <d v="2020-05-28T00:00:00"/>
    <x v="5"/>
    <n v="278491.5"/>
    <n v="28151004.75"/>
    <n v="129"/>
    <n v="16453"/>
    <n v="15289"/>
    <x v="155"/>
    <x v="0"/>
  </r>
  <r>
    <d v="2020-05-25T00:00:00"/>
    <x v="6"/>
    <n v="349734"/>
    <n v="36883428"/>
    <n v="124"/>
    <n v="20358"/>
    <n v="18890"/>
    <x v="156"/>
    <x v="0"/>
  </r>
  <r>
    <d v="2020-04-30T00:00:00"/>
    <x v="6"/>
    <n v="401580"/>
    <n v="43028734.5"/>
    <n v="125"/>
    <n v="22368"/>
    <n v="20625"/>
    <x v="157"/>
    <x v="4"/>
  </r>
  <r>
    <d v="2020-05-10T00:00:00"/>
    <x v="6"/>
    <n v="368649"/>
    <n v="39010875"/>
    <n v="125"/>
    <n v="20368"/>
    <n v="18884"/>
    <x v="158"/>
    <x v="3"/>
  </r>
  <r>
    <d v="2020-05-08T00:00:00"/>
    <x v="6"/>
    <n v="463530"/>
    <n v="49123180.5"/>
    <n v="125"/>
    <n v="24620"/>
    <n v="22641"/>
    <x v="159"/>
    <x v="3"/>
  </r>
  <r>
    <d v="2020-05-07T00:00:00"/>
    <x v="6"/>
    <n v="319110"/>
    <n v="33763989"/>
    <n v="125"/>
    <n v="18014"/>
    <n v="16675"/>
    <x v="160"/>
    <x v="3"/>
  </r>
  <r>
    <d v="2020-05-24T00:00:00"/>
    <x v="6"/>
    <n v="375744"/>
    <n v="38191381.5"/>
    <n v="125"/>
    <n v="21004"/>
    <n v="19556"/>
    <x v="161"/>
    <x v="2"/>
  </r>
  <r>
    <d v="2020-05-16T00:00:00"/>
    <x v="7"/>
    <n v="81331.5"/>
    <n v="6652179"/>
    <n v="36"/>
    <n v="5286"/>
    <n v="4867"/>
    <x v="162"/>
    <x v="1"/>
  </r>
  <r>
    <d v="2020-05-19T00:00:00"/>
    <x v="7"/>
    <n v="75796.5"/>
    <n v="6173463"/>
    <n v="36"/>
    <n v="5094"/>
    <n v="4716"/>
    <x v="163"/>
    <x v="2"/>
  </r>
  <r>
    <d v="2020-05-17T00:00:00"/>
    <x v="7"/>
    <n v="72861"/>
    <n v="5952802.5"/>
    <n v="36"/>
    <n v="4918"/>
    <n v="4554"/>
    <x v="164"/>
    <x v="1"/>
  </r>
  <r>
    <d v="2020-05-09T00:00:00"/>
    <x v="7"/>
    <n v="83373"/>
    <n v="7253427"/>
    <n v="36"/>
    <n v="5413"/>
    <n v="4959"/>
    <x v="165"/>
    <x v="3"/>
  </r>
  <r>
    <d v="2020-05-04T00:00:00"/>
    <x v="7"/>
    <n v="64108.5"/>
    <n v="5561452.5"/>
    <n v="36"/>
    <n v="4508"/>
    <n v="4149"/>
    <x v="166"/>
    <x v="3"/>
  </r>
  <r>
    <d v="2020-04-29T00:00:00"/>
    <x v="7"/>
    <n v="74707.5"/>
    <n v="6454458"/>
    <n v="36"/>
    <n v="4937"/>
    <n v="4561"/>
    <x v="167"/>
    <x v="4"/>
  </r>
  <r>
    <d v="2020-05-02T00:00:00"/>
    <x v="7"/>
    <n v="46216.5"/>
    <n v="4118251.5"/>
    <n v="36"/>
    <n v="3442"/>
    <n v="3147"/>
    <x v="168"/>
    <x v="4"/>
  </r>
  <r>
    <d v="2020-05-26T00:00:00"/>
    <x v="7"/>
    <n v="67726.5"/>
    <n v="5864989.5"/>
    <n v="36"/>
    <n v="4770"/>
    <n v="4424"/>
    <x v="169"/>
    <x v="0"/>
  </r>
  <r>
    <d v="2020-05-01T00:00:00"/>
    <x v="7"/>
    <n v="82228.5"/>
    <n v="7032225"/>
    <n v="36"/>
    <n v="5457"/>
    <n v="4916"/>
    <x v="170"/>
    <x v="4"/>
  </r>
  <r>
    <d v="2020-05-12T00:00:00"/>
    <x v="7"/>
    <n v="64390.5"/>
    <n v="5523145.5"/>
    <n v="36"/>
    <n v="4418"/>
    <n v="4088"/>
    <x v="171"/>
    <x v="1"/>
  </r>
  <r>
    <d v="2020-05-21T00:00:00"/>
    <x v="7"/>
    <n v="73126.5"/>
    <n v="5864085"/>
    <n v="36"/>
    <n v="4816"/>
    <n v="4452"/>
    <x v="172"/>
    <x v="2"/>
  </r>
  <r>
    <d v="2020-05-20T00:00:00"/>
    <x v="7"/>
    <n v="99631.5"/>
    <n v="7121946"/>
    <n v="36"/>
    <n v="5914"/>
    <n v="5384"/>
    <x v="173"/>
    <x v="2"/>
  </r>
  <r>
    <d v="2020-05-05T00:00:00"/>
    <x v="7"/>
    <n v="66396"/>
    <n v="5770539"/>
    <n v="36"/>
    <n v="4575"/>
    <n v="4206"/>
    <x v="174"/>
    <x v="3"/>
  </r>
  <r>
    <d v="2020-04-28T00:00:00"/>
    <x v="7"/>
    <n v="73147.5"/>
    <n v="6288246"/>
    <n v="36"/>
    <n v="4923"/>
    <n v="4560"/>
    <x v="175"/>
    <x v="4"/>
  </r>
  <r>
    <d v="2020-05-13T00:00:00"/>
    <x v="7"/>
    <n v="73062"/>
    <n v="6333828"/>
    <n v="36"/>
    <n v="4967"/>
    <n v="4583"/>
    <x v="176"/>
    <x v="1"/>
  </r>
  <r>
    <d v="2020-05-31T00:00:00"/>
    <x v="6"/>
    <n v="379663.5"/>
    <n v="39380178"/>
    <n v="124"/>
    <n v="21392"/>
    <n v="19869"/>
    <x v="177"/>
    <x v="0"/>
  </r>
  <r>
    <d v="2020-05-03T00:00:00"/>
    <x v="7"/>
    <n v="70581"/>
    <n v="6221320.5"/>
    <n v="36"/>
    <n v="4751"/>
    <n v="4370"/>
    <x v="178"/>
    <x v="4"/>
  </r>
  <r>
    <d v="2020-05-30T00:00:00"/>
    <x v="6"/>
    <n v="453123"/>
    <n v="46370904"/>
    <n v="124"/>
    <n v="24325"/>
    <n v="22469"/>
    <x v="179"/>
    <x v="0"/>
  </r>
  <r>
    <d v="2020-05-06T00:00:00"/>
    <x v="7"/>
    <n v="63012"/>
    <n v="5454121.5"/>
    <n v="36"/>
    <n v="4384"/>
    <n v="4025"/>
    <x v="180"/>
    <x v="3"/>
  </r>
  <r>
    <d v="2020-05-23T00:00:00"/>
    <x v="7"/>
    <n v="89556"/>
    <n v="7173117"/>
    <n v="36"/>
    <n v="5651"/>
    <n v="5212"/>
    <x v="181"/>
    <x v="2"/>
  </r>
  <r>
    <d v="2020-05-28T00:00:00"/>
    <x v="6"/>
    <n v="364638"/>
    <n v="37947688.5"/>
    <n v="124"/>
    <n v="20868"/>
    <n v="19342"/>
    <x v="182"/>
    <x v="0"/>
  </r>
  <r>
    <d v="2020-05-25T00:00:00"/>
    <x v="7"/>
    <n v="66316.5"/>
    <n v="5704650"/>
    <n v="36"/>
    <n v="4641"/>
    <n v="4274"/>
    <x v="183"/>
    <x v="0"/>
  </r>
  <r>
    <d v="2020-04-30T00:00:00"/>
    <x v="7"/>
    <n v="78235.5"/>
    <n v="6819594"/>
    <n v="36"/>
    <n v="5143"/>
    <n v="4715"/>
    <x v="184"/>
    <x v="4"/>
  </r>
  <r>
    <d v="2020-05-10T00:00:00"/>
    <x v="7"/>
    <n v="88311"/>
    <n v="7726069.5"/>
    <n v="36"/>
    <n v="5746"/>
    <n v="5277"/>
    <x v="185"/>
    <x v="3"/>
  </r>
  <r>
    <d v="2020-05-08T00:00:00"/>
    <x v="7"/>
    <n v="61804.5"/>
    <n v="5365708.5"/>
    <n v="36"/>
    <n v="4199"/>
    <n v="3867"/>
    <x v="186"/>
    <x v="3"/>
  </r>
  <r>
    <d v="2020-05-07T00:00:00"/>
    <x v="7"/>
    <n v="71067"/>
    <n v="6175837.5"/>
    <n v="36"/>
    <n v="4826"/>
    <n v="4426"/>
    <x v="187"/>
    <x v="3"/>
  </r>
  <r>
    <d v="2020-05-24T00:00:00"/>
    <x v="7"/>
    <n v="74649"/>
    <n v="6098236.5"/>
    <n v="36"/>
    <n v="4915"/>
    <n v="4562"/>
    <x v="188"/>
    <x v="2"/>
  </r>
  <r>
    <d v="2020-05-16T00:00:00"/>
    <x v="8"/>
    <n v="44560.5"/>
    <n v="4025148"/>
    <n v="21"/>
    <n v="2427"/>
    <n v="2213"/>
    <x v="189"/>
    <x v="1"/>
  </r>
  <r>
    <d v="2020-05-19T00:00:00"/>
    <x v="8"/>
    <n v="38250"/>
    <n v="3552937.5"/>
    <n v="21"/>
    <n v="2245"/>
    <n v="2053"/>
    <x v="190"/>
    <x v="2"/>
  </r>
  <r>
    <d v="2020-05-17T00:00:00"/>
    <x v="8"/>
    <n v="34830"/>
    <n v="3191155.5"/>
    <n v="21"/>
    <n v="2054"/>
    <n v="1883"/>
    <x v="191"/>
    <x v="1"/>
  </r>
  <r>
    <d v="2020-05-09T00:00:00"/>
    <x v="8"/>
    <n v="32239.5"/>
    <n v="3084892.5"/>
    <n v="21"/>
    <n v="1891"/>
    <n v="1709"/>
    <x v="192"/>
    <x v="3"/>
  </r>
  <r>
    <d v="2020-05-04T00:00:00"/>
    <x v="8"/>
    <n v="30780"/>
    <n v="2817853.5"/>
    <n v="20"/>
    <n v="1804"/>
    <n v="1638"/>
    <x v="193"/>
    <x v="3"/>
  </r>
  <r>
    <d v="2020-04-29T00:00:00"/>
    <x v="8"/>
    <n v="29142"/>
    <n v="2627595"/>
    <n v="19"/>
    <n v="1676"/>
    <n v="1516"/>
    <x v="194"/>
    <x v="4"/>
  </r>
  <r>
    <d v="2020-05-02T00:00:00"/>
    <x v="8"/>
    <n v="26428.5"/>
    <n v="2470465.5"/>
    <n v="20"/>
    <n v="1613"/>
    <n v="1457"/>
    <x v="195"/>
    <x v="4"/>
  </r>
  <r>
    <d v="2020-05-26T00:00:00"/>
    <x v="8"/>
    <n v="40744.5"/>
    <n v="3700311"/>
    <n v="21"/>
    <n v="2418"/>
    <n v="2215"/>
    <x v="196"/>
    <x v="0"/>
  </r>
  <r>
    <d v="2020-05-01T00:00:00"/>
    <x v="8"/>
    <n v="46620"/>
    <n v="4293241.5"/>
    <n v="20"/>
    <n v="2468"/>
    <n v="2221"/>
    <x v="197"/>
    <x v="4"/>
  </r>
  <r>
    <d v="2020-05-12T00:00:00"/>
    <x v="8"/>
    <n v="32419.5"/>
    <n v="3080614.5"/>
    <n v="21"/>
    <n v="1926"/>
    <n v="1745"/>
    <x v="198"/>
    <x v="1"/>
  </r>
  <r>
    <d v="2020-05-21T00:00:00"/>
    <x v="8"/>
    <n v="40819.5"/>
    <n v="3810394.5"/>
    <n v="21"/>
    <n v="2335"/>
    <n v="2126"/>
    <x v="199"/>
    <x v="2"/>
  </r>
  <r>
    <d v="2020-05-20T00:00:00"/>
    <x v="8"/>
    <n v="41391"/>
    <n v="3918987"/>
    <n v="21"/>
    <n v="2410"/>
    <n v="2202"/>
    <x v="200"/>
    <x v="2"/>
  </r>
  <r>
    <d v="2020-05-05T00:00:00"/>
    <x v="8"/>
    <n v="29482.5"/>
    <n v="2648688"/>
    <n v="20"/>
    <n v="1757"/>
    <n v="1596"/>
    <x v="201"/>
    <x v="3"/>
  </r>
  <r>
    <d v="2020-04-28T00:00:00"/>
    <x v="8"/>
    <n v="32181"/>
    <n v="2863600.5"/>
    <n v="19"/>
    <n v="1846"/>
    <n v="1681"/>
    <x v="202"/>
    <x v="4"/>
  </r>
  <r>
    <d v="2020-05-13T00:00:00"/>
    <x v="8"/>
    <n v="35535"/>
    <n v="3288069"/>
    <n v="21"/>
    <n v="2061"/>
    <n v="1876"/>
    <x v="203"/>
    <x v="1"/>
  </r>
  <r>
    <d v="2020-05-31T00:00:00"/>
    <x v="7"/>
    <n v="76234.5"/>
    <n v="6500848.5"/>
    <n v="37"/>
    <n v="5215"/>
    <n v="4848"/>
    <x v="204"/>
    <x v="0"/>
  </r>
  <r>
    <d v="2020-05-03T00:00:00"/>
    <x v="8"/>
    <n v="29935.5"/>
    <n v="2720002.5"/>
    <n v="20"/>
    <n v="1716"/>
    <n v="1561"/>
    <x v="205"/>
    <x v="4"/>
  </r>
  <r>
    <d v="2020-05-30T00:00:00"/>
    <x v="7"/>
    <n v="106926"/>
    <n v="9098386.5"/>
    <n v="37"/>
    <n v="6645"/>
    <n v="6122"/>
    <x v="206"/>
    <x v="0"/>
  </r>
  <r>
    <d v="2020-05-06T00:00:00"/>
    <x v="8"/>
    <n v="30342"/>
    <n v="2738127"/>
    <n v="20"/>
    <n v="1747"/>
    <n v="1570"/>
    <x v="207"/>
    <x v="3"/>
  </r>
  <r>
    <d v="2020-05-23T00:00:00"/>
    <x v="8"/>
    <n v="42999"/>
    <n v="3883215"/>
    <n v="21"/>
    <n v="2460"/>
    <n v="2226"/>
    <x v="208"/>
    <x v="2"/>
  </r>
  <r>
    <d v="2020-05-28T00:00:00"/>
    <x v="7"/>
    <n v="69945"/>
    <n v="6101931"/>
    <n v="37"/>
    <n v="4840"/>
    <n v="4475"/>
    <x v="209"/>
    <x v="0"/>
  </r>
  <r>
    <d v="2020-05-25T00:00:00"/>
    <x v="8"/>
    <n v="38740.5"/>
    <n v="3561655.5"/>
    <n v="21"/>
    <n v="2330"/>
    <n v="2142"/>
    <x v="210"/>
    <x v="0"/>
  </r>
  <r>
    <d v="2020-04-30T00:00:00"/>
    <x v="8"/>
    <n v="31231.5"/>
    <n v="2853310.5"/>
    <n v="20"/>
    <n v="1756"/>
    <n v="1586"/>
    <x v="211"/>
    <x v="4"/>
  </r>
  <r>
    <d v="2020-05-10T00:00:00"/>
    <x v="8"/>
    <n v="37489.5"/>
    <n v="3549097.5"/>
    <n v="21"/>
    <n v="2120"/>
    <n v="1921"/>
    <x v="212"/>
    <x v="3"/>
  </r>
  <r>
    <d v="2020-05-08T00:00:00"/>
    <x v="8"/>
    <n v="34399.5"/>
    <n v="3201358.5"/>
    <n v="21"/>
    <n v="1957"/>
    <n v="1755"/>
    <x v="213"/>
    <x v="3"/>
  </r>
  <r>
    <d v="2020-05-07T00:00:00"/>
    <x v="8"/>
    <n v="32851.5"/>
    <n v="2934504"/>
    <n v="21"/>
    <n v="1879"/>
    <n v="1695"/>
    <x v="214"/>
    <x v="3"/>
  </r>
  <r>
    <d v="2020-05-24T00:00:00"/>
    <x v="8"/>
    <n v="38194.5"/>
    <n v="3449302.5"/>
    <n v="21"/>
    <n v="2254"/>
    <n v="2061"/>
    <x v="215"/>
    <x v="2"/>
  </r>
  <r>
    <d v="2020-05-31T00:00:00"/>
    <x v="8"/>
    <n v="42423"/>
    <n v="3994153.5"/>
    <n v="23"/>
    <n v="2522"/>
    <n v="2295"/>
    <x v="216"/>
    <x v="0"/>
  </r>
  <r>
    <d v="2020-05-30T00:00:00"/>
    <x v="8"/>
    <n v="48286.5"/>
    <n v="4456441.5"/>
    <n v="22"/>
    <n v="2793"/>
    <n v="2539"/>
    <x v="217"/>
    <x v="0"/>
  </r>
  <r>
    <d v="2020-05-28T00:00:00"/>
    <x v="8"/>
    <n v="41442"/>
    <n v="3893680.5"/>
    <n v="22"/>
    <n v="2454"/>
    <n v="2239"/>
    <x v="218"/>
    <x v="0"/>
  </r>
  <r>
    <d v="2020-05-16T00:00:00"/>
    <x v="9"/>
    <n v="18600"/>
    <n v="1601425.5"/>
    <n v="15"/>
    <n v="1111"/>
    <n v="992"/>
    <x v="219"/>
    <x v="1"/>
  </r>
  <r>
    <d v="2020-05-19T00:00:00"/>
    <x v="9"/>
    <n v="16638"/>
    <n v="1364847"/>
    <n v="16"/>
    <n v="1012"/>
    <n v="900"/>
    <x v="220"/>
    <x v="2"/>
  </r>
  <r>
    <d v="2020-05-17T00:00:00"/>
    <x v="9"/>
    <n v="15609"/>
    <n v="1377577.5"/>
    <n v="15"/>
    <n v="971"/>
    <n v="856"/>
    <x v="221"/>
    <x v="1"/>
  </r>
  <r>
    <d v="2020-05-09T00:00:00"/>
    <x v="9"/>
    <n v="13948.5"/>
    <n v="1222932"/>
    <n v="15"/>
    <n v="849"/>
    <n v="740"/>
    <x v="222"/>
    <x v="3"/>
  </r>
  <r>
    <d v="2020-05-04T00:00:00"/>
    <x v="9"/>
    <n v="12301.5"/>
    <n v="1085211"/>
    <n v="15"/>
    <n v="750"/>
    <n v="647"/>
    <x v="223"/>
    <x v="3"/>
  </r>
  <r>
    <d v="2020-04-29T00:00:00"/>
    <x v="9"/>
    <n v="13014"/>
    <n v="1115992.5"/>
    <n v="15"/>
    <n v="786"/>
    <n v="695"/>
    <x v="224"/>
    <x v="4"/>
  </r>
  <r>
    <d v="2020-05-02T00:00:00"/>
    <x v="9"/>
    <n v="12313.5"/>
    <n v="1053220.5"/>
    <n v="15"/>
    <n v="751"/>
    <n v="651"/>
    <x v="225"/>
    <x v="4"/>
  </r>
  <r>
    <d v="2020-05-26T00:00:00"/>
    <x v="9"/>
    <n v="17391"/>
    <n v="1489132.5"/>
    <n v="17"/>
    <n v="1140"/>
    <n v="1016"/>
    <x v="226"/>
    <x v="0"/>
  </r>
  <r>
    <d v="2020-05-01T00:00:00"/>
    <x v="9"/>
    <n v="17113.5"/>
    <n v="1465842"/>
    <n v="15"/>
    <n v="996"/>
    <n v="888"/>
    <x v="227"/>
    <x v="4"/>
  </r>
  <r>
    <d v="2020-05-12T00:00:00"/>
    <x v="9"/>
    <n v="12802.5"/>
    <n v="1123830"/>
    <n v="15"/>
    <n v="845"/>
    <n v="743"/>
    <x v="228"/>
    <x v="1"/>
  </r>
  <r>
    <d v="2020-05-21T00:00:00"/>
    <x v="9"/>
    <n v="16554"/>
    <n v="1380751.5"/>
    <n v="17"/>
    <n v="1045"/>
    <n v="930"/>
    <x v="229"/>
    <x v="2"/>
  </r>
  <r>
    <d v="2020-05-20T00:00:00"/>
    <x v="9"/>
    <n v="17329.5"/>
    <n v="1430254.5"/>
    <n v="16"/>
    <n v="1050"/>
    <n v="938"/>
    <x v="230"/>
    <x v="2"/>
  </r>
  <r>
    <d v="2020-05-05T00:00:00"/>
    <x v="9"/>
    <n v="15987"/>
    <n v="1384179"/>
    <n v="15"/>
    <n v="922"/>
    <n v="823"/>
    <x v="231"/>
    <x v="3"/>
  </r>
  <r>
    <d v="2020-04-28T00:00:00"/>
    <x v="9"/>
    <n v="13303.5"/>
    <n v="1102887"/>
    <n v="15"/>
    <n v="780"/>
    <n v="690"/>
    <x v="232"/>
    <x v="4"/>
  </r>
  <r>
    <d v="2020-05-13T00:00:00"/>
    <x v="9"/>
    <n v="14305.5"/>
    <n v="1243507.5"/>
    <n v="15"/>
    <n v="898"/>
    <n v="795"/>
    <x v="233"/>
    <x v="1"/>
  </r>
  <r>
    <d v="2020-05-03T00:00:00"/>
    <x v="9"/>
    <n v="12924"/>
    <n v="1120009.5"/>
    <n v="15"/>
    <n v="784"/>
    <n v="696"/>
    <x v="234"/>
    <x v="4"/>
  </r>
  <r>
    <d v="2020-05-06T00:00:00"/>
    <x v="9"/>
    <n v="14061"/>
    <n v="1221057"/>
    <n v="15"/>
    <n v="839"/>
    <n v="733"/>
    <x v="235"/>
    <x v="3"/>
  </r>
  <r>
    <d v="2020-05-23T00:00:00"/>
    <x v="9"/>
    <n v="21958.5"/>
    <n v="1854001.5"/>
    <n v="17"/>
    <n v="1294"/>
    <n v="1155"/>
    <x v="236"/>
    <x v="2"/>
  </r>
  <r>
    <d v="2020-05-25T00:00:00"/>
    <x v="9"/>
    <n v="17211"/>
    <n v="1507867.5"/>
    <n v="17"/>
    <n v="1142"/>
    <n v="1020"/>
    <x v="237"/>
    <x v="0"/>
  </r>
  <r>
    <d v="2020-04-30T00:00:00"/>
    <x v="9"/>
    <n v="12753"/>
    <n v="1103068.5"/>
    <n v="15"/>
    <n v="791"/>
    <n v="691"/>
    <x v="238"/>
    <x v="4"/>
  </r>
  <r>
    <d v="2020-05-10T00:00:00"/>
    <x v="9"/>
    <n v="16435.5"/>
    <n v="1471537.5"/>
    <n v="15"/>
    <n v="950"/>
    <n v="848"/>
    <x v="239"/>
    <x v="3"/>
  </r>
  <r>
    <d v="2020-05-08T00:00:00"/>
    <x v="9"/>
    <n v="14494.5"/>
    <n v="1269786"/>
    <n v="15"/>
    <n v="879"/>
    <n v="768"/>
    <x v="240"/>
    <x v="3"/>
  </r>
  <r>
    <d v="2020-05-07T00:00:00"/>
    <x v="9"/>
    <n v="12705"/>
    <n v="1123894.5"/>
    <n v="15"/>
    <n v="805"/>
    <n v="703"/>
    <x v="241"/>
    <x v="3"/>
  </r>
  <r>
    <d v="2020-05-24T00:00:00"/>
    <x v="9"/>
    <n v="18075"/>
    <n v="1548099"/>
    <n v="17"/>
    <n v="1128"/>
    <n v="1001"/>
    <x v="242"/>
    <x v="2"/>
  </r>
  <r>
    <d v="2020-05-16T00:00:00"/>
    <x v="10"/>
    <n v="13120.5"/>
    <n v="1215033"/>
    <n v="15"/>
    <n v="747"/>
    <n v="647"/>
    <x v="243"/>
    <x v="1"/>
  </r>
  <r>
    <d v="2020-05-19T00:00:00"/>
    <x v="10"/>
    <n v="16237.5"/>
    <n v="1403047.5"/>
    <n v="15"/>
    <n v="930"/>
    <n v="827"/>
    <x v="244"/>
    <x v="2"/>
  </r>
  <r>
    <d v="2020-05-17T00:00:00"/>
    <x v="10"/>
    <n v="11967"/>
    <n v="1060489.5"/>
    <n v="15"/>
    <n v="692"/>
    <n v="591"/>
    <x v="245"/>
    <x v="1"/>
  </r>
  <r>
    <d v="2020-05-09T00:00:00"/>
    <x v="10"/>
    <n v="12037.5"/>
    <n v="1081216.5"/>
    <n v="15"/>
    <n v="623"/>
    <n v="535"/>
    <x v="246"/>
    <x v="3"/>
  </r>
  <r>
    <d v="2020-05-04T00:00:00"/>
    <x v="10"/>
    <n v="7087.5"/>
    <n v="610855.5"/>
    <n v="15"/>
    <n v="390"/>
    <n v="315"/>
    <x v="247"/>
    <x v="3"/>
  </r>
  <r>
    <d v="2020-04-29T00:00:00"/>
    <x v="11"/>
    <n v="25816.5"/>
    <n v="2360914.5"/>
    <n v="18"/>
    <n v="1599"/>
    <n v="1450"/>
    <x v="248"/>
    <x v="4"/>
  </r>
  <r>
    <d v="2020-05-02T00:00:00"/>
    <x v="10"/>
    <n v="4624.5"/>
    <n v="433243.5"/>
    <n v="15"/>
    <n v="274"/>
    <n v="203"/>
    <x v="249"/>
    <x v="4"/>
  </r>
  <r>
    <d v="2020-05-26T00:00:00"/>
    <x v="10"/>
    <n v="12259.5"/>
    <n v="1152054"/>
    <n v="15"/>
    <n v="812"/>
    <n v="711"/>
    <x v="250"/>
    <x v="0"/>
  </r>
  <r>
    <d v="2020-05-01T00:00:00"/>
    <x v="10"/>
    <n v="5446.5"/>
    <n v="505572"/>
    <n v="15"/>
    <n v="294"/>
    <n v="225"/>
    <x v="251"/>
    <x v="4"/>
  </r>
  <r>
    <d v="2020-05-12T00:00:00"/>
    <x v="10"/>
    <n v="11296.5"/>
    <n v="989632.5"/>
    <n v="15"/>
    <n v="624"/>
    <n v="538"/>
    <x v="252"/>
    <x v="1"/>
  </r>
  <r>
    <d v="2020-05-21T00:00:00"/>
    <x v="10"/>
    <n v="12135"/>
    <n v="1103623.5"/>
    <n v="15"/>
    <n v="749"/>
    <n v="652"/>
    <x v="253"/>
    <x v="2"/>
  </r>
  <r>
    <d v="2020-05-20T00:00:00"/>
    <x v="10"/>
    <n v="12630"/>
    <n v="1104858"/>
    <n v="15"/>
    <n v="760"/>
    <n v="664"/>
    <x v="254"/>
    <x v="2"/>
  </r>
  <r>
    <d v="2020-05-05T00:00:00"/>
    <x v="10"/>
    <n v="8223"/>
    <n v="694593"/>
    <n v="15"/>
    <n v="455"/>
    <n v="381"/>
    <x v="255"/>
    <x v="3"/>
  </r>
  <r>
    <d v="2020-04-28T00:00:00"/>
    <x v="11"/>
    <n v="25149"/>
    <n v="2277072"/>
    <n v="18"/>
    <n v="1505"/>
    <n v="1368"/>
    <x v="256"/>
    <x v="4"/>
  </r>
  <r>
    <d v="2020-05-13T00:00:00"/>
    <x v="10"/>
    <n v="10401"/>
    <n v="949912.5"/>
    <n v="15"/>
    <n v="599"/>
    <n v="515"/>
    <x v="257"/>
    <x v="1"/>
  </r>
  <r>
    <d v="2020-05-31T00:00:00"/>
    <x v="9"/>
    <n v="17689.5"/>
    <n v="1592119.5"/>
    <n v="17"/>
    <n v="1186"/>
    <n v="1054"/>
    <x v="258"/>
    <x v="0"/>
  </r>
  <r>
    <d v="2020-05-03T00:00:00"/>
    <x v="10"/>
    <n v="8127"/>
    <n v="665302.5"/>
    <n v="15"/>
    <n v="455"/>
    <n v="384"/>
    <x v="259"/>
    <x v="4"/>
  </r>
  <r>
    <d v="2020-05-30T00:00:00"/>
    <x v="9"/>
    <n v="27250.5"/>
    <n v="2457252"/>
    <n v="17"/>
    <n v="1697"/>
    <n v="1499"/>
    <x v="260"/>
    <x v="0"/>
  </r>
  <r>
    <d v="2020-05-06T00:00:00"/>
    <x v="10"/>
    <n v="8464.5"/>
    <n v="739291.5"/>
    <n v="15"/>
    <n v="467"/>
    <n v="389"/>
    <x v="261"/>
    <x v="3"/>
  </r>
  <r>
    <d v="2020-05-23T00:00:00"/>
    <x v="10"/>
    <n v="14167.5"/>
    <n v="1315075.5"/>
    <n v="15"/>
    <n v="840"/>
    <n v="725"/>
    <x v="262"/>
    <x v="2"/>
  </r>
  <r>
    <d v="2020-05-28T00:00:00"/>
    <x v="9"/>
    <n v="16500"/>
    <n v="1487928"/>
    <n v="17"/>
    <n v="1097"/>
    <n v="968"/>
    <x v="263"/>
    <x v="0"/>
  </r>
  <r>
    <d v="2020-05-25T00:00:00"/>
    <x v="10"/>
    <n v="13260"/>
    <n v="1230687"/>
    <n v="15"/>
    <n v="835"/>
    <n v="736"/>
    <x v="264"/>
    <x v="0"/>
  </r>
  <r>
    <d v="2020-04-30T00:00:00"/>
    <x v="10"/>
    <n v="4285.5"/>
    <n v="404691"/>
    <n v="15"/>
    <n v="262"/>
    <n v="195"/>
    <x v="265"/>
    <x v="4"/>
  </r>
  <r>
    <d v="2020-05-10T00:00:00"/>
    <x v="10"/>
    <n v="13440"/>
    <n v="1198285.5"/>
    <n v="15"/>
    <n v="706"/>
    <n v="608"/>
    <x v="266"/>
    <x v="3"/>
  </r>
  <r>
    <d v="2020-05-08T00:00:00"/>
    <x v="10"/>
    <n v="9058.5"/>
    <n v="798759"/>
    <n v="15"/>
    <n v="492"/>
    <n v="412"/>
    <x v="267"/>
    <x v="3"/>
  </r>
  <r>
    <d v="2020-05-07T00:00:00"/>
    <x v="10"/>
    <n v="8719.5"/>
    <n v="769276.5"/>
    <n v="15"/>
    <n v="480"/>
    <n v="398"/>
    <x v="268"/>
    <x v="3"/>
  </r>
  <r>
    <d v="2020-05-24T00:00:00"/>
    <x v="10"/>
    <n v="12666"/>
    <n v="1184865"/>
    <n v="15"/>
    <n v="779"/>
    <n v="673"/>
    <x v="269"/>
    <x v="2"/>
  </r>
  <r>
    <d v="2020-05-16T00:00:00"/>
    <x v="11"/>
    <n v="34563"/>
    <n v="2922883.5"/>
    <n v="19"/>
    <n v="2039"/>
    <n v="1868"/>
    <x v="270"/>
    <x v="1"/>
  </r>
  <r>
    <d v="2020-05-19T00:00:00"/>
    <x v="11"/>
    <n v="28882.5"/>
    <n v="2446530"/>
    <n v="19"/>
    <n v="1831"/>
    <n v="1667"/>
    <x v="271"/>
    <x v="2"/>
  </r>
  <r>
    <d v="2020-05-17T00:00:00"/>
    <x v="11"/>
    <n v="28275"/>
    <n v="2435632.5"/>
    <n v="19"/>
    <n v="1790"/>
    <n v="1633"/>
    <x v="272"/>
    <x v="1"/>
  </r>
  <r>
    <d v="2020-05-09T00:00:00"/>
    <x v="11"/>
    <n v="26271"/>
    <n v="2384937"/>
    <n v="19"/>
    <n v="1542"/>
    <n v="1412"/>
    <x v="273"/>
    <x v="3"/>
  </r>
  <r>
    <d v="2020-05-04T00:00:00"/>
    <x v="11"/>
    <n v="23587.5"/>
    <n v="2155668"/>
    <n v="19"/>
    <n v="1479"/>
    <n v="1346"/>
    <x v="274"/>
    <x v="3"/>
  </r>
  <r>
    <d v="2020-05-02T00:00:00"/>
    <x v="11"/>
    <n v="18427.5"/>
    <n v="1682851.5"/>
    <n v="19"/>
    <n v="1206"/>
    <n v="1080"/>
    <x v="275"/>
    <x v="4"/>
  </r>
  <r>
    <d v="2020-05-26T00:00:00"/>
    <x v="11"/>
    <n v="27156"/>
    <n v="2410803"/>
    <n v="20"/>
    <n v="1814"/>
    <n v="1655"/>
    <x v="276"/>
    <x v="0"/>
  </r>
  <r>
    <d v="2020-05-01T00:00:00"/>
    <x v="11"/>
    <n v="35190"/>
    <n v="3168510"/>
    <n v="19"/>
    <n v="1987"/>
    <n v="1791"/>
    <x v="277"/>
    <x v="4"/>
  </r>
  <r>
    <d v="2020-05-12T00:00:00"/>
    <x v="11"/>
    <n v="25483.5"/>
    <n v="2243160"/>
    <n v="19"/>
    <n v="1598"/>
    <n v="1454"/>
    <x v="278"/>
    <x v="1"/>
  </r>
  <r>
    <d v="2020-05-21T00:00:00"/>
    <x v="11"/>
    <n v="25362"/>
    <n v="2198935.5"/>
    <n v="19"/>
    <n v="1650"/>
    <n v="1505"/>
    <x v="279"/>
    <x v="2"/>
  </r>
  <r>
    <d v="2020-05-20T00:00:00"/>
    <x v="11"/>
    <n v="28849.5"/>
    <n v="2520759"/>
    <n v="19"/>
    <n v="1823"/>
    <n v="1678"/>
    <x v="280"/>
    <x v="2"/>
  </r>
  <r>
    <d v="2020-05-05T00:00:00"/>
    <x v="11"/>
    <n v="26367"/>
    <n v="2380333.5"/>
    <n v="19"/>
    <n v="1622"/>
    <n v="1482"/>
    <x v="281"/>
    <x v="3"/>
  </r>
  <r>
    <d v="2020-05-13T00:00:00"/>
    <x v="11"/>
    <n v="25539"/>
    <n v="2263651.5"/>
    <n v="19"/>
    <n v="1605"/>
    <n v="1447"/>
    <x v="282"/>
    <x v="1"/>
  </r>
  <r>
    <d v="2020-05-31T00:00:00"/>
    <x v="10"/>
    <n v="14808"/>
    <n v="1336789.5"/>
    <n v="16"/>
    <n v="917"/>
    <n v="802"/>
    <x v="283"/>
    <x v="0"/>
  </r>
  <r>
    <d v="2020-05-03T00:00:00"/>
    <x v="11"/>
    <n v="21343.5"/>
    <n v="1906557"/>
    <n v="19"/>
    <n v="1314"/>
    <n v="1192"/>
    <x v="284"/>
    <x v="4"/>
  </r>
  <r>
    <d v="2020-05-30T00:00:00"/>
    <x v="10"/>
    <n v="17946"/>
    <n v="1609090.5"/>
    <n v="16"/>
    <n v="1048"/>
    <n v="918"/>
    <x v="285"/>
    <x v="0"/>
  </r>
  <r>
    <d v="2020-05-06T00:00:00"/>
    <x v="11"/>
    <n v="24337.5"/>
    <n v="2159350.5"/>
    <n v="19"/>
    <n v="1509"/>
    <n v="1374"/>
    <x v="286"/>
    <x v="3"/>
  </r>
  <r>
    <d v="2020-05-23T00:00:00"/>
    <x v="11"/>
    <n v="36997.5"/>
    <n v="3089140.5"/>
    <n v="19"/>
    <n v="2195"/>
    <n v="1999"/>
    <x v="287"/>
    <x v="2"/>
  </r>
  <r>
    <d v="2020-05-28T00:00:00"/>
    <x v="10"/>
    <n v="13864.5"/>
    <n v="1239747"/>
    <n v="16"/>
    <n v="876"/>
    <n v="762"/>
    <x v="288"/>
    <x v="0"/>
  </r>
  <r>
    <d v="2020-05-25T00:00:00"/>
    <x v="11"/>
    <n v="28494"/>
    <n v="2512803"/>
    <n v="20"/>
    <n v="1899"/>
    <n v="1738"/>
    <x v="289"/>
    <x v="0"/>
  </r>
  <r>
    <d v="2020-04-30T00:00:00"/>
    <x v="11"/>
    <n v="27883.5"/>
    <n v="2560080"/>
    <n v="19"/>
    <n v="1662"/>
    <n v="1506"/>
    <x v="290"/>
    <x v="4"/>
  </r>
  <r>
    <d v="2020-05-10T00:00:00"/>
    <x v="11"/>
    <n v="31224"/>
    <n v="2767270.5"/>
    <n v="19"/>
    <n v="1836"/>
    <n v="1680"/>
    <x v="291"/>
    <x v="3"/>
  </r>
  <r>
    <d v="2020-05-08T00:00:00"/>
    <x v="11"/>
    <n v="25020"/>
    <n v="2235960"/>
    <n v="19"/>
    <n v="1520"/>
    <n v="1380"/>
    <x v="292"/>
    <x v="3"/>
  </r>
  <r>
    <d v="2020-05-07T00:00:00"/>
    <x v="11"/>
    <n v="26184"/>
    <n v="2308336.5"/>
    <n v="19"/>
    <n v="1580"/>
    <n v="1435"/>
    <x v="293"/>
    <x v="3"/>
  </r>
  <r>
    <d v="2020-05-24T00:00:00"/>
    <x v="11"/>
    <n v="29824.5"/>
    <n v="2526909"/>
    <n v="19"/>
    <n v="1868"/>
    <n v="1706"/>
    <x v="294"/>
    <x v="2"/>
  </r>
  <r>
    <d v="2020-04-29T00:00:00"/>
    <x v="12"/>
    <n v="208351.5"/>
    <n v="21615333"/>
    <n v="59"/>
    <n v="13186"/>
    <n v="12251"/>
    <x v="295"/>
    <x v="4"/>
  </r>
  <r>
    <d v="2020-04-28T00:00:00"/>
    <x v="12"/>
    <n v="204637.5"/>
    <n v="21114898.5"/>
    <n v="59"/>
    <n v="12943"/>
    <n v="12072"/>
    <x v="296"/>
    <x v="4"/>
  </r>
  <r>
    <d v="2020-05-31T00:00:00"/>
    <x v="11"/>
    <n v="31372.5"/>
    <n v="2794324.5"/>
    <n v="21"/>
    <n v="2056"/>
    <n v="1879"/>
    <x v="297"/>
    <x v="0"/>
  </r>
  <r>
    <d v="2020-05-30T00:00:00"/>
    <x v="11"/>
    <n v="34681.5"/>
    <n v="3005334"/>
    <n v="20"/>
    <n v="2174"/>
    <n v="1957"/>
    <x v="298"/>
    <x v="0"/>
  </r>
  <r>
    <d v="2020-05-28T00:00:00"/>
    <x v="11"/>
    <n v="28197"/>
    <n v="2559211.5"/>
    <n v="20"/>
    <n v="1875"/>
    <n v="1701"/>
    <x v="299"/>
    <x v="0"/>
  </r>
  <r>
    <d v="2020-05-16T00:00:00"/>
    <x v="12"/>
    <n v="236551.5"/>
    <n v="23689383"/>
    <n v="60"/>
    <n v="14049"/>
    <n v="13118"/>
    <x v="300"/>
    <x v="1"/>
  </r>
  <r>
    <d v="2020-05-19T00:00:00"/>
    <x v="12"/>
    <n v="223597.5"/>
    <n v="21945858"/>
    <n v="60"/>
    <n v="13867"/>
    <n v="12987"/>
    <x v="301"/>
    <x v="2"/>
  </r>
  <r>
    <d v="2020-05-17T00:00:00"/>
    <x v="12"/>
    <n v="193363.5"/>
    <n v="19546386"/>
    <n v="60"/>
    <n v="11698"/>
    <n v="10989"/>
    <x v="302"/>
    <x v="1"/>
  </r>
  <r>
    <d v="2020-05-09T00:00:00"/>
    <x v="12"/>
    <n v="188319"/>
    <n v="19218631.5"/>
    <n v="59"/>
    <n v="12016"/>
    <n v="11137"/>
    <x v="303"/>
    <x v="3"/>
  </r>
  <r>
    <d v="2020-05-04T00:00:00"/>
    <x v="12"/>
    <n v="237544.5"/>
    <n v="24292218"/>
    <n v="59"/>
    <n v="14423"/>
    <n v="13432"/>
    <x v="304"/>
    <x v="3"/>
  </r>
  <r>
    <d v="2020-04-29T00:00:00"/>
    <x v="13"/>
    <n v="203209.5"/>
    <n v="20871391.5"/>
    <n v="54"/>
    <n v="12747"/>
    <n v="11884"/>
    <x v="305"/>
    <x v="4"/>
  </r>
  <r>
    <d v="2020-05-02T00:00:00"/>
    <x v="12"/>
    <n v="185979"/>
    <n v="19625364"/>
    <n v="59"/>
    <n v="12429"/>
    <n v="11477"/>
    <x v="306"/>
    <x v="4"/>
  </r>
  <r>
    <d v="2020-05-26T00:00:00"/>
    <x v="12"/>
    <n v="244905"/>
    <n v="25163431.5"/>
    <n v="59"/>
    <n v="15369"/>
    <n v="14299"/>
    <x v="307"/>
    <x v="0"/>
  </r>
  <r>
    <d v="2020-05-01T00:00:00"/>
    <x v="12"/>
    <n v="239409"/>
    <n v="25413351"/>
    <n v="59"/>
    <n v="15222"/>
    <n v="13873"/>
    <x v="308"/>
    <x v="4"/>
  </r>
  <r>
    <d v="2020-05-12T00:00:00"/>
    <x v="12"/>
    <n v="192886.5"/>
    <n v="19205179.5"/>
    <n v="60"/>
    <n v="12000"/>
    <n v="11194"/>
    <x v="309"/>
    <x v="1"/>
  </r>
  <r>
    <d v="2020-05-21T00:00:00"/>
    <x v="12"/>
    <n v="224233.5"/>
    <n v="22253295"/>
    <n v="60"/>
    <n v="14005"/>
    <n v="13002"/>
    <x v="310"/>
    <x v="2"/>
  </r>
  <r>
    <d v="2020-05-20T00:00:00"/>
    <x v="12"/>
    <n v="219622.5"/>
    <n v="21959286"/>
    <n v="60"/>
    <n v="13792"/>
    <n v="12834"/>
    <x v="311"/>
    <x v="2"/>
  </r>
  <r>
    <d v="2020-05-05T00:00:00"/>
    <x v="12"/>
    <n v="213582"/>
    <n v="21919435.5"/>
    <n v="59"/>
    <n v="13469"/>
    <n v="12486"/>
    <x v="312"/>
    <x v="3"/>
  </r>
  <r>
    <d v="2020-04-28T00:00:00"/>
    <x v="13"/>
    <n v="195705"/>
    <n v="20003263.5"/>
    <n v="54"/>
    <n v="12306"/>
    <n v="11532"/>
    <x v="313"/>
    <x v="4"/>
  </r>
  <r>
    <d v="2020-05-13T00:00:00"/>
    <x v="12"/>
    <n v="193722"/>
    <n v="19437273"/>
    <n v="60"/>
    <n v="12007"/>
    <n v="11245"/>
    <x v="314"/>
    <x v="1"/>
  </r>
  <r>
    <d v="2020-05-03T00:00:00"/>
    <x v="12"/>
    <n v="257215.5"/>
    <n v="26492278.5"/>
    <n v="59"/>
    <n v="15277"/>
    <n v="14163"/>
    <x v="315"/>
    <x v="4"/>
  </r>
  <r>
    <d v="2020-05-06T00:00:00"/>
    <x v="12"/>
    <n v="224779.5"/>
    <n v="23032992"/>
    <n v="59"/>
    <n v="14103"/>
    <n v="13118"/>
    <x v="316"/>
    <x v="3"/>
  </r>
  <r>
    <d v="2020-05-23T00:00:00"/>
    <x v="12"/>
    <n v="292018.5"/>
    <n v="28590910.5"/>
    <n v="60"/>
    <n v="17295"/>
    <n v="16010"/>
    <x v="317"/>
    <x v="2"/>
  </r>
  <r>
    <d v="2020-05-25T00:00:00"/>
    <x v="12"/>
    <n v="198751.5"/>
    <n v="20582743.5"/>
    <n v="59"/>
    <n v="12983"/>
    <n v="12056"/>
    <x v="318"/>
    <x v="0"/>
  </r>
  <r>
    <d v="2020-04-30T00:00:00"/>
    <x v="12"/>
    <n v="214386"/>
    <n v="22530000"/>
    <n v="59"/>
    <n v="13251"/>
    <n v="12255"/>
    <x v="319"/>
    <x v="4"/>
  </r>
  <r>
    <d v="2020-05-10T00:00:00"/>
    <x v="12"/>
    <n v="243825"/>
    <n v="24890404.5"/>
    <n v="59"/>
    <n v="14569"/>
    <n v="13566"/>
    <x v="320"/>
    <x v="3"/>
  </r>
  <r>
    <d v="2020-05-08T00:00:00"/>
    <x v="12"/>
    <n v="232701"/>
    <n v="23881948.5"/>
    <n v="59"/>
    <n v="14098"/>
    <n v="13106"/>
    <x v="321"/>
    <x v="3"/>
  </r>
  <r>
    <d v="2020-05-07T00:00:00"/>
    <x v="12"/>
    <n v="219411"/>
    <n v="22460130"/>
    <n v="59"/>
    <n v="13495"/>
    <n v="12517"/>
    <x v="322"/>
    <x v="3"/>
  </r>
  <r>
    <d v="2020-05-24T00:00:00"/>
    <x v="12"/>
    <n v="200029.5"/>
    <n v="19959801"/>
    <n v="60"/>
    <n v="12822"/>
    <n v="11916"/>
    <x v="323"/>
    <x v="2"/>
  </r>
  <r>
    <d v="2020-05-16T00:00:00"/>
    <x v="13"/>
    <n v="225480"/>
    <n v="22355338.5"/>
    <n v="54"/>
    <n v="13170"/>
    <n v="12299"/>
    <x v="324"/>
    <x v="1"/>
  </r>
  <r>
    <d v="2020-05-19T00:00:00"/>
    <x v="13"/>
    <n v="211453.5"/>
    <n v="20590072.5"/>
    <n v="54"/>
    <n v="13070"/>
    <n v="12244"/>
    <x v="325"/>
    <x v="2"/>
  </r>
  <r>
    <d v="2020-05-17T00:00:00"/>
    <x v="13"/>
    <n v="184801.5"/>
    <n v="18449091"/>
    <n v="54"/>
    <n v="11128"/>
    <n v="10467"/>
    <x v="326"/>
    <x v="1"/>
  </r>
  <r>
    <d v="2020-05-09T00:00:00"/>
    <x v="13"/>
    <n v="177976.5"/>
    <n v="18085798.5"/>
    <n v="54"/>
    <n v="11288"/>
    <n v="10492"/>
    <x v="327"/>
    <x v="3"/>
  </r>
  <r>
    <d v="2020-05-04T00:00:00"/>
    <x v="13"/>
    <n v="223617"/>
    <n v="22796827.5"/>
    <n v="54"/>
    <n v="13606"/>
    <n v="12697"/>
    <x v="328"/>
    <x v="3"/>
  </r>
  <r>
    <d v="2020-05-02T00:00:00"/>
    <x v="13"/>
    <n v="176397"/>
    <n v="18625921.5"/>
    <n v="54"/>
    <n v="11622"/>
    <n v="10754"/>
    <x v="329"/>
    <x v="4"/>
  </r>
  <r>
    <d v="2020-05-26T00:00:00"/>
    <x v="13"/>
    <n v="232369.5"/>
    <n v="23856345"/>
    <n v="54"/>
    <n v="14482"/>
    <n v="13510"/>
    <x v="330"/>
    <x v="0"/>
  </r>
  <r>
    <d v="2020-05-01T00:00:00"/>
    <x v="13"/>
    <n v="226540.5"/>
    <n v="23953536"/>
    <n v="54"/>
    <n v="14205"/>
    <n v="13026"/>
    <x v="331"/>
    <x v="4"/>
  </r>
  <r>
    <d v="2020-05-12T00:00:00"/>
    <x v="13"/>
    <n v="189679.5"/>
    <n v="18718036.5"/>
    <n v="54"/>
    <n v="11614"/>
    <n v="10862"/>
    <x v="332"/>
    <x v="1"/>
  </r>
  <r>
    <d v="2020-05-21T00:00:00"/>
    <x v="13"/>
    <n v="213640.5"/>
    <n v="21042673.5"/>
    <n v="54"/>
    <n v="13240"/>
    <n v="12360"/>
    <x v="333"/>
    <x v="2"/>
  </r>
  <r>
    <d v="2020-05-20T00:00:00"/>
    <x v="13"/>
    <n v="214885.5"/>
    <n v="21411349.5"/>
    <n v="54"/>
    <n v="13298"/>
    <n v="12428"/>
    <x v="334"/>
    <x v="2"/>
  </r>
  <r>
    <d v="2020-05-05T00:00:00"/>
    <x v="13"/>
    <n v="203832"/>
    <n v="20880142.5"/>
    <n v="54"/>
    <n v="12775"/>
    <n v="11887"/>
    <x v="335"/>
    <x v="3"/>
  </r>
  <r>
    <d v="2020-05-13T00:00:00"/>
    <x v="13"/>
    <n v="188662.5"/>
    <n v="18784000.5"/>
    <n v="54"/>
    <n v="11522"/>
    <n v="10803"/>
    <x v="336"/>
    <x v="1"/>
  </r>
  <r>
    <d v="2020-05-31T00:00:00"/>
    <x v="12"/>
    <n v="215277"/>
    <n v="21585316.5"/>
    <n v="59"/>
    <n v="13684"/>
    <n v="12690"/>
    <x v="337"/>
    <x v="0"/>
  </r>
  <r>
    <d v="2020-05-03T00:00:00"/>
    <x v="13"/>
    <n v="248148"/>
    <n v="25519072.5"/>
    <n v="54"/>
    <n v="14823"/>
    <n v="13751"/>
    <x v="338"/>
    <x v="4"/>
  </r>
  <r>
    <d v="2020-05-30T00:00:00"/>
    <x v="12"/>
    <n v="246414"/>
    <n v="24527245.5"/>
    <n v="59"/>
    <n v="15030"/>
    <n v="13956"/>
    <x v="339"/>
    <x v="0"/>
  </r>
  <r>
    <d v="2020-05-06T00:00:00"/>
    <x v="13"/>
    <n v="216498"/>
    <n v="22126444.5"/>
    <n v="54"/>
    <n v="13406"/>
    <n v="12518"/>
    <x v="340"/>
    <x v="3"/>
  </r>
  <r>
    <d v="2020-05-23T00:00:00"/>
    <x v="13"/>
    <n v="275793"/>
    <n v="26806626"/>
    <n v="54"/>
    <n v="16221"/>
    <n v="15065"/>
    <x v="341"/>
    <x v="2"/>
  </r>
  <r>
    <d v="2020-05-28T00:00:00"/>
    <x v="12"/>
    <n v="199753.5"/>
    <n v="20535733.5"/>
    <n v="60"/>
    <n v="12854"/>
    <n v="11954"/>
    <x v="342"/>
    <x v="0"/>
  </r>
  <r>
    <d v="2020-05-25T00:00:00"/>
    <x v="13"/>
    <n v="192948"/>
    <n v="19806927"/>
    <n v="54"/>
    <n v="12336"/>
    <n v="11519"/>
    <x v="343"/>
    <x v="0"/>
  </r>
  <r>
    <d v="2020-04-30T00:00:00"/>
    <x v="13"/>
    <n v="206038.5"/>
    <n v="21740460"/>
    <n v="54"/>
    <n v="12817"/>
    <n v="11865"/>
    <x v="344"/>
    <x v="4"/>
  </r>
  <r>
    <d v="2020-05-10T00:00:00"/>
    <x v="13"/>
    <n v="231559.5"/>
    <n v="23443725"/>
    <n v="54"/>
    <n v="13832"/>
    <n v="12864"/>
    <x v="345"/>
    <x v="3"/>
  </r>
  <r>
    <d v="2020-05-08T00:00:00"/>
    <x v="13"/>
    <n v="225076.5"/>
    <n v="22846078.5"/>
    <n v="54"/>
    <n v="13563"/>
    <n v="12604"/>
    <x v="346"/>
    <x v="3"/>
  </r>
  <r>
    <d v="2020-05-07T00:00:00"/>
    <x v="13"/>
    <n v="209415"/>
    <n v="21463023"/>
    <n v="54"/>
    <n v="12743"/>
    <n v="11858"/>
    <x v="347"/>
    <x v="3"/>
  </r>
  <r>
    <d v="2020-05-24T00:00:00"/>
    <x v="13"/>
    <n v="193719"/>
    <n v="19071117"/>
    <n v="54"/>
    <n v="12211"/>
    <n v="11427"/>
    <x v="348"/>
    <x v="2"/>
  </r>
  <r>
    <d v="2020-04-29T00:00:00"/>
    <x v="14"/>
    <n v="12250.5"/>
    <n v="981519"/>
    <n v="15"/>
    <n v="659"/>
    <n v="575"/>
    <x v="349"/>
    <x v="4"/>
  </r>
  <r>
    <d v="2020-04-28T00:00:00"/>
    <x v="14"/>
    <n v="12541.5"/>
    <n v="992541"/>
    <n v="15"/>
    <n v="636"/>
    <n v="547"/>
    <x v="350"/>
    <x v="4"/>
  </r>
  <r>
    <d v="2020-05-31T00:00:00"/>
    <x v="13"/>
    <n v="206758.5"/>
    <n v="20717248.5"/>
    <n v="54"/>
    <n v="13106"/>
    <n v="12164"/>
    <x v="351"/>
    <x v="0"/>
  </r>
  <r>
    <d v="2020-05-30T00:00:00"/>
    <x v="13"/>
    <n v="244734"/>
    <n v="24151980"/>
    <n v="54"/>
    <n v="14590"/>
    <n v="13551"/>
    <x v="352"/>
    <x v="0"/>
  </r>
  <r>
    <d v="2020-05-28T00:00:00"/>
    <x v="13"/>
    <n v="191641.5"/>
    <n v="19549036.5"/>
    <n v="54"/>
    <n v="12409"/>
    <n v="11582"/>
    <x v="353"/>
    <x v="0"/>
  </r>
  <r>
    <d v="2020-05-16T00:00:00"/>
    <x v="14"/>
    <n v="16368"/>
    <n v="1316350.5"/>
    <n v="16"/>
    <n v="920"/>
    <n v="818"/>
    <x v="354"/>
    <x v="1"/>
  </r>
  <r>
    <d v="2020-05-19T00:00:00"/>
    <x v="14"/>
    <n v="14427"/>
    <n v="1126810.5"/>
    <n v="17"/>
    <n v="857"/>
    <n v="757"/>
    <x v="355"/>
    <x v="2"/>
  </r>
  <r>
    <d v="2020-05-17T00:00:00"/>
    <x v="14"/>
    <n v="13440"/>
    <n v="1157529"/>
    <n v="16"/>
    <n v="859"/>
    <n v="746"/>
    <x v="356"/>
    <x v="1"/>
  </r>
  <r>
    <d v="2020-05-09T00:00:00"/>
    <x v="14"/>
    <n v="11745"/>
    <n v="955801.5"/>
    <n v="15"/>
    <n v="654"/>
    <n v="570"/>
    <x v="357"/>
    <x v="3"/>
  </r>
  <r>
    <d v="2020-05-04T00:00:00"/>
    <x v="14"/>
    <n v="11062.5"/>
    <n v="906343.5"/>
    <n v="15"/>
    <n v="622"/>
    <n v="538"/>
    <x v="358"/>
    <x v="3"/>
  </r>
  <r>
    <d v="2020-05-02T00:00:00"/>
    <x v="14"/>
    <n v="10018.5"/>
    <n v="816859.5"/>
    <n v="15"/>
    <n v="567"/>
    <n v="493"/>
    <x v="359"/>
    <x v="4"/>
  </r>
  <r>
    <d v="2020-05-26T00:00:00"/>
    <x v="15"/>
    <n v="10437"/>
    <n v="833815.5"/>
    <n v="7"/>
    <n v="577"/>
    <n v="389"/>
    <x v="360"/>
    <x v="0"/>
  </r>
  <r>
    <d v="2020-05-01T00:00:00"/>
    <x v="14"/>
    <n v="13644"/>
    <n v="1134444"/>
    <n v="15"/>
    <n v="721"/>
    <n v="625"/>
    <x v="361"/>
    <x v="4"/>
  </r>
  <r>
    <d v="2020-05-12T00:00:00"/>
    <x v="14"/>
    <n v="13443"/>
    <n v="1092277.5"/>
    <n v="15"/>
    <n v="750"/>
    <n v="659"/>
    <x v="362"/>
    <x v="1"/>
  </r>
  <r>
    <d v="2020-05-21T00:00:00"/>
    <x v="14"/>
    <n v="14182.5"/>
    <n v="1172574"/>
    <n v="18"/>
    <n v="888"/>
    <n v="786"/>
    <x v="363"/>
    <x v="2"/>
  </r>
  <r>
    <d v="2020-05-20T00:00:00"/>
    <x v="14"/>
    <n v="14928"/>
    <n v="1217749.5"/>
    <n v="17"/>
    <n v="890"/>
    <n v="794"/>
    <x v="364"/>
    <x v="2"/>
  </r>
  <r>
    <d v="2020-05-05T00:00:00"/>
    <x v="14"/>
    <n v="13941"/>
    <n v="1145575.5"/>
    <n v="15"/>
    <n v="750"/>
    <n v="658"/>
    <x v="365"/>
    <x v="3"/>
  </r>
  <r>
    <d v="2020-05-13T00:00:00"/>
    <x v="14"/>
    <n v="14643"/>
    <n v="1172691"/>
    <n v="15"/>
    <n v="854"/>
    <n v="756"/>
    <x v="366"/>
    <x v="1"/>
  </r>
  <r>
    <d v="2020-05-03T00:00:00"/>
    <x v="14"/>
    <n v="10032"/>
    <n v="816150"/>
    <n v="15"/>
    <n v="585"/>
    <n v="502"/>
    <x v="367"/>
    <x v="4"/>
  </r>
  <r>
    <d v="2020-05-06T00:00:00"/>
    <x v="14"/>
    <n v="12468"/>
    <n v="1016566.5"/>
    <n v="15"/>
    <n v="701"/>
    <n v="611"/>
    <x v="368"/>
    <x v="3"/>
  </r>
  <r>
    <d v="2020-05-23T00:00:00"/>
    <x v="14"/>
    <n v="17943"/>
    <n v="1457391"/>
    <n v="18"/>
    <n v="1031"/>
    <n v="918"/>
    <x v="369"/>
    <x v="2"/>
  </r>
  <r>
    <d v="2020-05-25T00:00:00"/>
    <x v="14"/>
    <n v="15807"/>
    <n v="1326705"/>
    <n v="18"/>
    <n v="989"/>
    <n v="887"/>
    <x v="370"/>
    <x v="0"/>
  </r>
  <r>
    <d v="2020-04-30T00:00:00"/>
    <x v="14"/>
    <n v="11976"/>
    <n v="1004511"/>
    <n v="15"/>
    <n v="644"/>
    <n v="550"/>
    <x v="371"/>
    <x v="4"/>
  </r>
  <r>
    <d v="2020-05-10T00:00:00"/>
    <x v="14"/>
    <n v="14566.5"/>
    <n v="1216557"/>
    <n v="15"/>
    <n v="792"/>
    <n v="695"/>
    <x v="372"/>
    <x v="3"/>
  </r>
  <r>
    <d v="2020-05-08T00:00:00"/>
    <x v="14"/>
    <n v="12976.5"/>
    <n v="1046848.5"/>
    <n v="15"/>
    <n v="703"/>
    <n v="609"/>
    <x v="373"/>
    <x v="3"/>
  </r>
  <r>
    <d v="2020-05-07T00:00:00"/>
    <x v="14"/>
    <n v="11719.5"/>
    <n v="965880"/>
    <n v="15"/>
    <n v="676"/>
    <n v="591"/>
    <x v="374"/>
    <x v="3"/>
  </r>
  <r>
    <d v="2020-05-24T00:00:00"/>
    <x v="14"/>
    <n v="17197.5"/>
    <n v="1386262.5"/>
    <n v="18"/>
    <n v="1006"/>
    <n v="904"/>
    <x v="375"/>
    <x v="2"/>
  </r>
  <r>
    <d v="2020-05-26T00:00:00"/>
    <x v="14"/>
    <n v="14419.5"/>
    <n v="1210456.5"/>
    <n v="18"/>
    <n v="914"/>
    <n v="804"/>
    <x v="376"/>
    <x v="0"/>
  </r>
  <r>
    <d v="2020-06-01T00:00:00"/>
    <x v="0"/>
    <n v="7816.5"/>
    <n v="636345"/>
    <n v="15"/>
    <n v="453"/>
    <n v="370"/>
    <x v="377"/>
    <x v="5"/>
  </r>
  <r>
    <d v="2020-05-31T00:00:00"/>
    <x v="16"/>
    <n v="6409.5"/>
    <n v="493893"/>
    <n v="9"/>
    <n v="345"/>
    <n v="255"/>
    <x v="378"/>
    <x v="0"/>
  </r>
  <r>
    <d v="2020-05-30T00:00:00"/>
    <x v="15"/>
    <n v="11220"/>
    <n v="928675.5"/>
    <n v="7"/>
    <n v="532"/>
    <n v="449"/>
    <x v="379"/>
    <x v="0"/>
  </r>
  <r>
    <d v="2020-05-29T00:00:00"/>
    <x v="0"/>
    <n v="8350.5"/>
    <n v="651237"/>
    <n v="15"/>
    <n v="400"/>
    <n v="329"/>
    <x v="380"/>
    <x v="0"/>
  </r>
  <r>
    <d v="2020-05-28T00:00:00"/>
    <x v="15"/>
    <n v="8428.5"/>
    <n v="694669.5"/>
    <n v="7"/>
    <n v="420"/>
    <n v="347"/>
    <x v="381"/>
    <x v="0"/>
  </r>
  <r>
    <d v="2020-05-27T00:00:00"/>
    <x v="1"/>
    <n v="32817"/>
    <n v="3015751.5"/>
    <n v="20"/>
    <n v="2079"/>
    <n v="1893"/>
    <x v="382"/>
    <x v="0"/>
  </r>
  <r>
    <d v="2020-05-22T00:00:00"/>
    <x v="1"/>
    <n v="36031.5"/>
    <n v="3091069.5"/>
    <n v="21"/>
    <n v="2046"/>
    <n v="1853"/>
    <x v="383"/>
    <x v="2"/>
  </r>
  <r>
    <d v="2020-05-31T00:00:00"/>
    <x v="17"/>
    <n v="5127"/>
    <n v="468835.5"/>
    <n v="6"/>
    <n v="261"/>
    <n v="188"/>
    <x v="384"/>
    <x v="0"/>
  </r>
  <r>
    <d v="2020-05-11T00:00:00"/>
    <x v="1"/>
    <n v="27187.5"/>
    <n v="2479396.5"/>
    <n v="21"/>
    <n v="1597"/>
    <n v="1457"/>
    <x v="385"/>
    <x v="1"/>
  </r>
  <r>
    <d v="2020-05-30T00:00:00"/>
    <x v="14"/>
    <n v="20688"/>
    <n v="1773154.5"/>
    <n v="18"/>
    <n v="1216"/>
    <n v="1101"/>
    <x v="386"/>
    <x v="0"/>
  </r>
  <r>
    <d v="2020-05-28T00:00:00"/>
    <x v="14"/>
    <n v="15678"/>
    <n v="1387443"/>
    <n v="18"/>
    <n v="1020"/>
    <n v="911"/>
    <x v="387"/>
    <x v="0"/>
  </r>
  <r>
    <d v="2020-05-18T00:00:00"/>
    <x v="1"/>
    <n v="31329"/>
    <n v="2826379.5"/>
    <n v="21"/>
    <n v="1834"/>
    <n v="1660"/>
    <x v="388"/>
    <x v="2"/>
  </r>
  <r>
    <d v="2020-05-14T00:00:00"/>
    <x v="1"/>
    <n v="29658"/>
    <n v="2703132"/>
    <n v="21"/>
    <n v="1706"/>
    <n v="1548"/>
    <x v="389"/>
    <x v="1"/>
  </r>
  <r>
    <d v="2020-05-15T00:00:00"/>
    <x v="1"/>
    <n v="34150.5"/>
    <n v="3038293.5"/>
    <n v="21"/>
    <n v="1926"/>
    <n v="1742"/>
    <x v="390"/>
    <x v="1"/>
  </r>
  <r>
    <d v="2020-06-01T00:00:00"/>
    <x v="1"/>
    <n v="31947"/>
    <n v="2945035.5"/>
    <n v="21"/>
    <n v="2025"/>
    <n v="1849"/>
    <x v="391"/>
    <x v="5"/>
  </r>
  <r>
    <d v="2020-05-31T00:00:00"/>
    <x v="15"/>
    <n v="10416"/>
    <n v="866023.5"/>
    <n v="7"/>
    <n v="530"/>
    <n v="447"/>
    <x v="392"/>
    <x v="0"/>
  </r>
  <r>
    <d v="2020-05-29T00:00:00"/>
    <x v="1"/>
    <n v="35431.5"/>
    <n v="3193167"/>
    <n v="20"/>
    <n v="2111"/>
    <n v="1917"/>
    <x v="393"/>
    <x v="0"/>
  </r>
  <r>
    <d v="2020-05-27T00:00:00"/>
    <x v="2"/>
    <n v="78544.5"/>
    <n v="6701083.5"/>
    <n v="31"/>
    <n v="5330"/>
    <n v="4977"/>
    <x v="394"/>
    <x v="0"/>
  </r>
  <r>
    <d v="2020-05-22T00:00:00"/>
    <x v="2"/>
    <n v="97963.5"/>
    <n v="7728465"/>
    <n v="31"/>
    <n v="5965"/>
    <n v="5533"/>
    <x v="395"/>
    <x v="2"/>
  </r>
  <r>
    <d v="2020-06-01T00:00:00"/>
    <x v="2"/>
    <n v="77269.5"/>
    <n v="6829921.5"/>
    <n v="31"/>
    <n v="5468"/>
    <n v="5081"/>
    <x v="396"/>
    <x v="5"/>
  </r>
  <r>
    <d v="2020-05-31T00:00:00"/>
    <x v="14"/>
    <n v="16143"/>
    <n v="1423410"/>
    <n v="18"/>
    <n v="1029"/>
    <n v="925"/>
    <x v="397"/>
    <x v="0"/>
  </r>
  <r>
    <d v="2020-05-11T00:00:00"/>
    <x v="2"/>
    <n v="72220.5"/>
    <n v="6398719.5"/>
    <n v="31"/>
    <n v="4826"/>
    <n v="4483"/>
    <x v="398"/>
    <x v="1"/>
  </r>
  <r>
    <d v="2020-05-18T00:00:00"/>
    <x v="2"/>
    <n v="78058.5"/>
    <n v="6609714"/>
    <n v="31"/>
    <n v="5165"/>
    <n v="4813"/>
    <x v="399"/>
    <x v="2"/>
  </r>
  <r>
    <d v="2020-05-14T00:00:00"/>
    <x v="2"/>
    <n v="70498.5"/>
    <n v="6053649"/>
    <n v="31"/>
    <n v="4695"/>
    <n v="4372"/>
    <x v="400"/>
    <x v="1"/>
  </r>
  <r>
    <d v="2020-05-15T00:00:00"/>
    <x v="2"/>
    <n v="78961.5"/>
    <n v="6876454.5"/>
    <n v="31"/>
    <n v="5184"/>
    <n v="4778"/>
    <x v="401"/>
    <x v="1"/>
  </r>
  <r>
    <d v="2020-05-27T00:00:00"/>
    <x v="3"/>
    <n v="12490.5"/>
    <n v="1054798.5"/>
    <n v="10"/>
    <n v="757"/>
    <n v="660"/>
    <x v="402"/>
    <x v="0"/>
  </r>
  <r>
    <d v="2020-05-22T00:00:00"/>
    <x v="3"/>
    <n v="18036"/>
    <n v="1455049.5"/>
    <n v="10"/>
    <n v="965"/>
    <n v="861"/>
    <x v="403"/>
    <x v="2"/>
  </r>
  <r>
    <d v="2020-06-01T00:00:00"/>
    <x v="3"/>
    <n v="11416.5"/>
    <n v="1007742"/>
    <n v="10"/>
    <n v="719"/>
    <n v="627"/>
    <x v="404"/>
    <x v="5"/>
  </r>
  <r>
    <d v="2020-05-11T00:00:00"/>
    <x v="3"/>
    <n v="9007.5"/>
    <n v="734335.5"/>
    <n v="10"/>
    <n v="494"/>
    <n v="421"/>
    <x v="405"/>
    <x v="1"/>
  </r>
  <r>
    <d v="2020-05-29T00:00:00"/>
    <x v="2"/>
    <n v="87552"/>
    <n v="7387116"/>
    <n v="31"/>
    <n v="5751"/>
    <n v="5319"/>
    <x v="406"/>
    <x v="0"/>
  </r>
  <r>
    <d v="2020-05-18T00:00:00"/>
    <x v="3"/>
    <n v="11680.5"/>
    <n v="936427.5"/>
    <n v="10"/>
    <n v="645"/>
    <n v="565"/>
    <x v="407"/>
    <x v="2"/>
  </r>
  <r>
    <d v="2020-05-14T00:00:00"/>
    <x v="3"/>
    <n v="12037.5"/>
    <n v="981564"/>
    <n v="10"/>
    <n v="627"/>
    <n v="545"/>
    <x v="408"/>
    <x v="1"/>
  </r>
  <r>
    <d v="2020-05-15T00:00:00"/>
    <x v="3"/>
    <n v="14421"/>
    <n v="1150579.5"/>
    <n v="10"/>
    <n v="743"/>
    <n v="652"/>
    <x v="409"/>
    <x v="1"/>
  </r>
  <r>
    <d v="2020-05-29T00:00:00"/>
    <x v="3"/>
    <n v="14823"/>
    <n v="1273464"/>
    <n v="10"/>
    <n v="873"/>
    <n v="770"/>
    <x v="410"/>
    <x v="0"/>
  </r>
  <r>
    <d v="2020-05-27T00:00:00"/>
    <x v="4"/>
    <n v="31257"/>
    <n v="2924133"/>
    <n v="20"/>
    <n v="2079"/>
    <n v="1856"/>
    <x v="411"/>
    <x v="0"/>
  </r>
  <r>
    <d v="2020-05-22T00:00:00"/>
    <x v="4"/>
    <n v="38074.5"/>
    <n v="3414180"/>
    <n v="20"/>
    <n v="2306"/>
    <n v="2054"/>
    <x v="412"/>
    <x v="2"/>
  </r>
  <r>
    <d v="2020-06-01T00:00:00"/>
    <x v="4"/>
    <n v="32170.5"/>
    <n v="3013512"/>
    <n v="20"/>
    <n v="2136"/>
    <n v="1899"/>
    <x v="413"/>
    <x v="5"/>
  </r>
  <r>
    <d v="2020-05-11T00:00:00"/>
    <x v="4"/>
    <n v="42397.5"/>
    <n v="3911979"/>
    <n v="19"/>
    <n v="2530"/>
    <n v="2270"/>
    <x v="414"/>
    <x v="1"/>
  </r>
  <r>
    <d v="2020-05-18T00:00:00"/>
    <x v="4"/>
    <n v="28668"/>
    <n v="2588148"/>
    <n v="19"/>
    <n v="1858"/>
    <n v="1648"/>
    <x v="415"/>
    <x v="2"/>
  </r>
  <r>
    <d v="2020-05-14T00:00:00"/>
    <x v="4"/>
    <n v="27411"/>
    <n v="2441520"/>
    <n v="19"/>
    <n v="1675"/>
    <n v="1475"/>
    <x v="416"/>
    <x v="1"/>
  </r>
  <r>
    <d v="2020-05-15T00:00:00"/>
    <x v="4"/>
    <n v="32854.5"/>
    <n v="2949078"/>
    <n v="19"/>
    <n v="1940"/>
    <n v="1715"/>
    <x v="417"/>
    <x v="1"/>
  </r>
  <r>
    <d v="2020-05-29T00:00:00"/>
    <x v="4"/>
    <n v="35346"/>
    <n v="3258054"/>
    <n v="20"/>
    <n v="2249"/>
    <n v="2000"/>
    <x v="418"/>
    <x v="0"/>
  </r>
  <r>
    <d v="2020-05-27T00:00:00"/>
    <x v="5"/>
    <n v="286558.5"/>
    <n v="29256993"/>
    <n v="129"/>
    <n v="17115"/>
    <n v="15962"/>
    <x v="419"/>
    <x v="0"/>
  </r>
  <r>
    <d v="2020-05-22T00:00:00"/>
    <x v="5"/>
    <n v="304092"/>
    <n v="29465769"/>
    <n v="129"/>
    <n v="17088"/>
    <n v="15804"/>
    <x v="420"/>
    <x v="2"/>
  </r>
  <r>
    <d v="2020-06-01T00:00:00"/>
    <x v="5"/>
    <n v="272926.5"/>
    <n v="27770092.5"/>
    <n v="128"/>
    <n v="16285"/>
    <n v="15130"/>
    <x v="421"/>
    <x v="5"/>
  </r>
  <r>
    <d v="2020-05-11T00:00:00"/>
    <x v="5"/>
    <n v="237099"/>
    <n v="24628233.223949999"/>
    <n v="129"/>
    <n v="14043"/>
    <n v="13167"/>
    <x v="422"/>
    <x v="1"/>
  </r>
  <r>
    <d v="2020-05-18T00:00:00"/>
    <x v="5"/>
    <n v="273900"/>
    <n v="27535284.147600003"/>
    <n v="129"/>
    <n v="16110"/>
    <n v="14992"/>
    <x v="423"/>
    <x v="2"/>
  </r>
  <r>
    <d v="2020-05-14T00:00:00"/>
    <x v="5"/>
    <n v="274059"/>
    <n v="28181292"/>
    <n v="129"/>
    <n v="15804"/>
    <n v="14738"/>
    <x v="424"/>
    <x v="1"/>
  </r>
  <r>
    <d v="2020-05-15T00:00:00"/>
    <x v="5"/>
    <n v="318816"/>
    <n v="32354331"/>
    <n v="129"/>
    <n v="17808"/>
    <n v="16486"/>
    <x v="425"/>
    <x v="1"/>
  </r>
  <r>
    <d v="2020-05-27T00:00:00"/>
    <x v="6"/>
    <n v="370012.5"/>
    <n v="39034861.5"/>
    <n v="124"/>
    <n v="21384"/>
    <n v="19897"/>
    <x v="426"/>
    <x v="0"/>
  </r>
  <r>
    <d v="2020-05-22T00:00:00"/>
    <x v="6"/>
    <n v="393018"/>
    <n v="39498373.5"/>
    <n v="125"/>
    <n v="21427"/>
    <n v="19799"/>
    <x v="427"/>
    <x v="2"/>
  </r>
  <r>
    <d v="2020-06-01T00:00:00"/>
    <x v="6"/>
    <n v="349699.5"/>
    <n v="37257840.18135"/>
    <n v="123"/>
    <n v="20325"/>
    <n v="18935"/>
    <x v="428"/>
    <x v="5"/>
  </r>
  <r>
    <d v="2020-05-11T00:00:00"/>
    <x v="6"/>
    <n v="318565.5"/>
    <n v="33781581"/>
    <n v="125"/>
    <n v="18066"/>
    <n v="16883"/>
    <x v="429"/>
    <x v="1"/>
  </r>
  <r>
    <d v="2020-05-29T00:00:00"/>
    <x v="5"/>
    <n v="422965.5"/>
    <n v="41767140.105000004"/>
    <n v="129"/>
    <n v="22403"/>
    <n v="20676"/>
    <x v="430"/>
    <x v="0"/>
  </r>
  <r>
    <d v="2020-05-18T00:00:00"/>
    <x v="6"/>
    <n v="355081.5"/>
    <n v="36876888"/>
    <n v="125"/>
    <n v="20449"/>
    <n v="19060"/>
    <x v="431"/>
    <x v="2"/>
  </r>
  <r>
    <d v="2020-05-14T00:00:00"/>
    <x v="6"/>
    <n v="358387.5"/>
    <n v="37963150.5"/>
    <n v="125"/>
    <n v="20247"/>
    <n v="18812"/>
    <x v="432"/>
    <x v="1"/>
  </r>
  <r>
    <d v="2020-05-15T00:00:00"/>
    <x v="6"/>
    <n v="403261.5"/>
    <n v="42271377"/>
    <n v="125"/>
    <n v="21862"/>
    <n v="20235"/>
    <x v="433"/>
    <x v="1"/>
  </r>
  <r>
    <d v="2020-05-27T00:00:00"/>
    <x v="7"/>
    <n v="69010.5"/>
    <n v="5985894"/>
    <n v="36"/>
    <n v="4951"/>
    <n v="4584"/>
    <x v="434"/>
    <x v="0"/>
  </r>
  <r>
    <d v="2020-05-22T00:00:00"/>
    <x v="7"/>
    <n v="75820.5"/>
    <n v="5943489"/>
    <n v="36"/>
    <n v="4857"/>
    <n v="4456"/>
    <x v="435"/>
    <x v="2"/>
  </r>
  <r>
    <d v="2020-06-01T00:00:00"/>
    <x v="7"/>
    <n v="64740"/>
    <n v="5800290"/>
    <n v="37"/>
    <n v="4722"/>
    <n v="4352"/>
    <x v="436"/>
    <x v="5"/>
  </r>
  <r>
    <d v="2020-05-11T00:00:00"/>
    <x v="7"/>
    <n v="59574"/>
    <n v="5178169.5"/>
    <n v="36"/>
    <n v="4150"/>
    <n v="3838"/>
    <x v="437"/>
    <x v="1"/>
  </r>
  <r>
    <d v="2020-05-29T00:00:00"/>
    <x v="6"/>
    <n v="524481"/>
    <n v="54172029"/>
    <n v="124"/>
    <n v="25828"/>
    <n v="23974"/>
    <x v="438"/>
    <x v="0"/>
  </r>
  <r>
    <d v="2020-05-18T00:00:00"/>
    <x v="7"/>
    <n v="70278"/>
    <n v="5798476.5"/>
    <n v="36"/>
    <n v="4885"/>
    <n v="4502"/>
    <x v="439"/>
    <x v="2"/>
  </r>
  <r>
    <d v="2020-05-14T00:00:00"/>
    <x v="7"/>
    <n v="63645"/>
    <n v="5366602.5"/>
    <n v="36"/>
    <n v="4285"/>
    <n v="3950"/>
    <x v="440"/>
    <x v="1"/>
  </r>
  <r>
    <d v="2020-05-15T00:00:00"/>
    <x v="7"/>
    <n v="75642"/>
    <n v="6293952"/>
    <n v="36"/>
    <n v="4862"/>
    <n v="4476"/>
    <x v="441"/>
    <x v="1"/>
  </r>
  <r>
    <d v="2020-05-27T00:00:00"/>
    <x v="8"/>
    <n v="40420.5"/>
    <n v="3780852"/>
    <n v="21"/>
    <n v="2430"/>
    <n v="2216"/>
    <x v="442"/>
    <x v="0"/>
  </r>
  <r>
    <d v="2020-05-22T00:00:00"/>
    <x v="8"/>
    <n v="53838"/>
    <n v="4840833"/>
    <n v="21"/>
    <n v="2861"/>
    <n v="2612"/>
    <x v="443"/>
    <x v="2"/>
  </r>
  <r>
    <d v="2020-06-01T00:00:00"/>
    <x v="8"/>
    <n v="40528.5"/>
    <n v="3865251"/>
    <n v="23"/>
    <n v="2531"/>
    <n v="2296"/>
    <x v="444"/>
    <x v="5"/>
  </r>
  <r>
    <d v="2020-05-11T00:00:00"/>
    <x v="8"/>
    <n v="32733"/>
    <n v="3079630.5"/>
    <n v="21"/>
    <n v="1916"/>
    <n v="1733"/>
    <x v="445"/>
    <x v="1"/>
  </r>
  <r>
    <d v="2020-05-29T00:00:00"/>
    <x v="7"/>
    <n v="84433.5"/>
    <n v="7228395"/>
    <n v="37"/>
    <n v="5672"/>
    <n v="5198"/>
    <x v="446"/>
    <x v="0"/>
  </r>
  <r>
    <d v="2020-05-18T00:00:00"/>
    <x v="8"/>
    <n v="36655.5"/>
    <n v="3360135"/>
    <n v="21"/>
    <n v="2136"/>
    <n v="1947"/>
    <x v="447"/>
    <x v="2"/>
  </r>
  <r>
    <d v="2020-05-14T00:00:00"/>
    <x v="8"/>
    <n v="33886.5"/>
    <n v="3166479"/>
    <n v="21"/>
    <n v="1993"/>
    <n v="1796"/>
    <x v="448"/>
    <x v="1"/>
  </r>
  <r>
    <d v="2020-05-15T00:00:00"/>
    <x v="8"/>
    <n v="41697"/>
    <n v="3772258.5"/>
    <n v="21"/>
    <n v="2255"/>
    <n v="2045"/>
    <x v="449"/>
    <x v="1"/>
  </r>
  <r>
    <d v="2020-05-29T00:00:00"/>
    <x v="8"/>
    <n v="44569.5"/>
    <n v="4108596"/>
    <n v="22"/>
    <n v="2597"/>
    <n v="2379"/>
    <x v="450"/>
    <x v="0"/>
  </r>
  <r>
    <d v="2020-05-27T00:00:00"/>
    <x v="9"/>
    <n v="18069"/>
    <n v="1603084.5"/>
    <n v="17"/>
    <n v="1203"/>
    <n v="1077"/>
    <x v="451"/>
    <x v="0"/>
  </r>
  <r>
    <d v="2020-05-22T00:00:00"/>
    <x v="9"/>
    <n v="21483"/>
    <n v="1774329"/>
    <n v="17"/>
    <n v="1268"/>
    <n v="1129"/>
    <x v="452"/>
    <x v="2"/>
  </r>
  <r>
    <d v="2020-06-01T00:00:00"/>
    <x v="9"/>
    <n v="16687.5"/>
    <n v="1526608.5"/>
    <n v="17"/>
    <n v="1185"/>
    <n v="1042"/>
    <x v="453"/>
    <x v="5"/>
  </r>
  <r>
    <d v="2020-05-11T00:00:00"/>
    <x v="9"/>
    <n v="12238.5"/>
    <n v="1096002"/>
    <n v="15"/>
    <n v="812"/>
    <n v="714"/>
    <x v="454"/>
    <x v="1"/>
  </r>
  <r>
    <d v="2020-05-18T00:00:00"/>
    <x v="9"/>
    <n v="14290.5"/>
    <n v="1246162.5"/>
    <n v="16"/>
    <n v="925"/>
    <n v="816"/>
    <x v="455"/>
    <x v="2"/>
  </r>
  <r>
    <d v="2020-05-14T00:00:00"/>
    <x v="9"/>
    <n v="14385"/>
    <n v="1223491.5"/>
    <n v="15"/>
    <n v="890"/>
    <n v="777"/>
    <x v="456"/>
    <x v="1"/>
  </r>
  <r>
    <d v="2020-05-15T00:00:00"/>
    <x v="9"/>
    <n v="16498.5"/>
    <n v="1370482.5"/>
    <n v="15"/>
    <n v="980"/>
    <n v="867"/>
    <x v="457"/>
    <x v="1"/>
  </r>
  <r>
    <d v="2020-05-27T00:00:00"/>
    <x v="10"/>
    <n v="13203"/>
    <n v="1211457"/>
    <n v="15"/>
    <n v="809"/>
    <n v="702"/>
    <x v="458"/>
    <x v="0"/>
  </r>
  <r>
    <d v="2020-05-22T00:00:00"/>
    <x v="10"/>
    <n v="15802.5"/>
    <n v="1411909.5"/>
    <n v="15"/>
    <n v="903"/>
    <n v="792"/>
    <x v="459"/>
    <x v="2"/>
  </r>
  <r>
    <d v="2020-06-01T00:00:00"/>
    <x v="10"/>
    <n v="16476"/>
    <n v="1565632.5"/>
    <n v="16"/>
    <n v="1019"/>
    <n v="895"/>
    <x v="460"/>
    <x v="5"/>
  </r>
  <r>
    <d v="2020-05-11T00:00:00"/>
    <x v="10"/>
    <n v="12654"/>
    <n v="1081158"/>
    <n v="15"/>
    <n v="684"/>
    <n v="585"/>
    <x v="461"/>
    <x v="1"/>
  </r>
  <r>
    <d v="2020-05-29T00:00:00"/>
    <x v="9"/>
    <n v="19647"/>
    <n v="1764669"/>
    <n v="17"/>
    <n v="1296"/>
    <n v="1153"/>
    <x v="462"/>
    <x v="0"/>
  </r>
  <r>
    <d v="2020-05-18T00:00:00"/>
    <x v="10"/>
    <n v="12450"/>
    <n v="1115146.5"/>
    <n v="15"/>
    <n v="729"/>
    <n v="636"/>
    <x v="463"/>
    <x v="2"/>
  </r>
  <r>
    <d v="2020-05-14T00:00:00"/>
    <x v="10"/>
    <n v="11161.5"/>
    <n v="963502.5"/>
    <n v="15"/>
    <n v="638"/>
    <n v="548"/>
    <x v="464"/>
    <x v="1"/>
  </r>
  <r>
    <d v="2020-05-15T00:00:00"/>
    <x v="10"/>
    <n v="12229.5"/>
    <n v="1122730.5"/>
    <n v="15"/>
    <n v="688"/>
    <n v="598"/>
    <x v="465"/>
    <x v="1"/>
  </r>
  <r>
    <d v="2020-05-27T00:00:00"/>
    <x v="11"/>
    <n v="28050"/>
    <n v="2458555.5"/>
    <n v="20"/>
    <n v="1873"/>
    <n v="1715"/>
    <x v="466"/>
    <x v="0"/>
  </r>
  <r>
    <d v="2020-05-22T00:00:00"/>
    <x v="11"/>
    <n v="30781.5"/>
    <n v="2540715"/>
    <n v="19"/>
    <n v="1859"/>
    <n v="1697"/>
    <x v="467"/>
    <x v="2"/>
  </r>
  <r>
    <d v="2020-06-01T00:00:00"/>
    <x v="11"/>
    <n v="27960"/>
    <n v="2538967.5"/>
    <n v="21"/>
    <n v="1879"/>
    <n v="1720"/>
    <x v="468"/>
    <x v="5"/>
  </r>
  <r>
    <d v="2020-05-11T00:00:00"/>
    <x v="11"/>
    <n v="23629.5"/>
    <n v="2164365"/>
    <n v="19"/>
    <n v="1527"/>
    <n v="1389"/>
    <x v="469"/>
    <x v="1"/>
  </r>
  <r>
    <d v="2020-05-29T00:00:00"/>
    <x v="10"/>
    <n v="17052"/>
    <n v="1549020"/>
    <n v="16"/>
    <n v="981"/>
    <n v="859"/>
    <x v="470"/>
    <x v="0"/>
  </r>
  <r>
    <d v="2020-05-18T00:00:00"/>
    <x v="11"/>
    <n v="27181.5"/>
    <n v="2324490"/>
    <n v="19"/>
    <n v="1741"/>
    <n v="1597"/>
    <x v="471"/>
    <x v="2"/>
  </r>
  <r>
    <d v="2020-05-14T00:00:00"/>
    <x v="11"/>
    <n v="25656"/>
    <n v="2225341.5"/>
    <n v="19"/>
    <n v="1635"/>
    <n v="1487"/>
    <x v="472"/>
    <x v="1"/>
  </r>
  <r>
    <d v="2020-05-15T00:00:00"/>
    <x v="11"/>
    <n v="29283"/>
    <n v="2477487"/>
    <n v="19"/>
    <n v="1780"/>
    <n v="1615"/>
    <x v="473"/>
    <x v="1"/>
  </r>
  <r>
    <d v="2020-05-29T00:00:00"/>
    <x v="11"/>
    <n v="32782.5"/>
    <n v="2854741.5"/>
    <n v="20"/>
    <n v="2064"/>
    <n v="1896"/>
    <x v="474"/>
    <x v="0"/>
  </r>
  <r>
    <d v="2020-05-27T00:00:00"/>
    <x v="12"/>
    <n v="215592"/>
    <n v="22342300.5"/>
    <n v="59"/>
    <n v="13942"/>
    <n v="12986"/>
    <x v="475"/>
    <x v="0"/>
  </r>
  <r>
    <d v="2020-05-22T00:00:00"/>
    <x v="12"/>
    <n v="228334.5"/>
    <n v="22380772.5"/>
    <n v="60"/>
    <n v="14050"/>
    <n v="13027"/>
    <x v="476"/>
    <x v="2"/>
  </r>
  <r>
    <d v="2020-06-01T00:00:00"/>
    <x v="12"/>
    <n v="188776.5"/>
    <n v="19465372.5"/>
    <n v="59"/>
    <n v="12299"/>
    <n v="11448"/>
    <x v="477"/>
    <x v="5"/>
  </r>
  <r>
    <d v="2020-05-11T00:00:00"/>
    <x v="12"/>
    <n v="175293"/>
    <n v="17919144"/>
    <n v="60"/>
    <n v="11100"/>
    <n v="10407"/>
    <x v="478"/>
    <x v="1"/>
  </r>
  <r>
    <d v="2020-05-18T00:00:00"/>
    <x v="12"/>
    <n v="201999"/>
    <n v="20422435.5"/>
    <n v="60"/>
    <n v="12460"/>
    <n v="11665"/>
    <x v="479"/>
    <x v="2"/>
  </r>
  <r>
    <d v="2020-05-14T00:00:00"/>
    <x v="12"/>
    <n v="197946"/>
    <n v="19942435.5"/>
    <n v="60"/>
    <n v="11935"/>
    <n v="11178"/>
    <x v="480"/>
    <x v="1"/>
  </r>
  <r>
    <d v="2020-05-15T00:00:00"/>
    <x v="12"/>
    <n v="230896.5"/>
    <n v="23085222"/>
    <n v="60"/>
    <n v="13544"/>
    <n v="12643"/>
    <x v="481"/>
    <x v="1"/>
  </r>
  <r>
    <d v="2020-05-27T00:00:00"/>
    <x v="13"/>
    <n v="203532"/>
    <n v="20953324.5"/>
    <n v="54"/>
    <n v="13091"/>
    <n v="12216"/>
    <x v="482"/>
    <x v="0"/>
  </r>
  <r>
    <d v="2020-05-22T00:00:00"/>
    <x v="13"/>
    <n v="214428"/>
    <n v="20812585.5"/>
    <n v="54"/>
    <n v="13014"/>
    <n v="12095"/>
    <x v="483"/>
    <x v="2"/>
  </r>
  <r>
    <d v="2020-06-01T00:00:00"/>
    <x v="13"/>
    <n v="183228"/>
    <n v="18914194.5"/>
    <n v="54"/>
    <n v="11864"/>
    <n v="11071"/>
    <x v="484"/>
    <x v="5"/>
  </r>
  <r>
    <d v="2020-05-11T00:00:00"/>
    <x v="13"/>
    <n v="166948.5"/>
    <n v="16971231"/>
    <n v="54"/>
    <n v="10570"/>
    <n v="9926"/>
    <x v="485"/>
    <x v="1"/>
  </r>
  <r>
    <d v="2020-05-29T00:00:00"/>
    <x v="12"/>
    <n v="232102.5"/>
    <n v="23120443.5"/>
    <n v="59"/>
    <n v="14507"/>
    <n v="13386"/>
    <x v="486"/>
    <x v="0"/>
  </r>
  <r>
    <d v="2020-05-18T00:00:00"/>
    <x v="13"/>
    <n v="196560"/>
    <n v="19855122"/>
    <n v="54"/>
    <n v="12012"/>
    <n v="11308"/>
    <x v="487"/>
    <x v="2"/>
  </r>
  <r>
    <d v="2020-05-14T00:00:00"/>
    <x v="13"/>
    <n v="186496.5"/>
    <n v="18640998"/>
    <n v="54"/>
    <n v="11194"/>
    <n v="10554"/>
    <x v="488"/>
    <x v="1"/>
  </r>
  <r>
    <d v="2020-05-15T00:00:00"/>
    <x v="13"/>
    <n v="219772.5"/>
    <n v="21895294.5"/>
    <n v="54"/>
    <n v="12791"/>
    <n v="11950"/>
    <x v="489"/>
    <x v="1"/>
  </r>
  <r>
    <d v="2020-05-29T00:00:00"/>
    <x v="13"/>
    <n v="226476"/>
    <n v="22416151.5"/>
    <n v="54"/>
    <n v="14031"/>
    <n v="12943"/>
    <x v="490"/>
    <x v="0"/>
  </r>
  <r>
    <d v="2020-05-27T00:00:00"/>
    <x v="15"/>
    <n v="8362.5"/>
    <n v="687684"/>
    <n v="7"/>
    <n v="409"/>
    <n v="329"/>
    <x v="491"/>
    <x v="0"/>
  </r>
  <r>
    <d v="2020-05-22T00:00:00"/>
    <x v="14"/>
    <n v="17008.5"/>
    <n v="1398771"/>
    <n v="18"/>
    <n v="985"/>
    <n v="861"/>
    <x v="492"/>
    <x v="2"/>
  </r>
  <r>
    <d v="2020-06-01T00:00:00"/>
    <x v="16"/>
    <n v="5166"/>
    <n v="389013"/>
    <n v="9"/>
    <n v="294"/>
    <n v="224"/>
    <x v="493"/>
    <x v="5"/>
  </r>
  <r>
    <d v="2020-05-11T00:00:00"/>
    <x v="14"/>
    <n v="10941"/>
    <n v="880356"/>
    <n v="15"/>
    <n v="654"/>
    <n v="564"/>
    <x v="494"/>
    <x v="1"/>
  </r>
  <r>
    <d v="2020-05-18T00:00:00"/>
    <x v="14"/>
    <n v="14497.5"/>
    <n v="1230711"/>
    <n v="16"/>
    <n v="864"/>
    <n v="765"/>
    <x v="495"/>
    <x v="2"/>
  </r>
  <r>
    <d v="2020-05-14T00:00:00"/>
    <x v="14"/>
    <n v="13810.5"/>
    <n v="1131676.5"/>
    <n v="16"/>
    <n v="834"/>
    <n v="735"/>
    <x v="496"/>
    <x v="1"/>
  </r>
  <r>
    <d v="2020-05-15T00:00:00"/>
    <x v="14"/>
    <n v="13752"/>
    <n v="1091040"/>
    <n v="16"/>
    <n v="817"/>
    <n v="718"/>
    <x v="497"/>
    <x v="1"/>
  </r>
  <r>
    <d v="2020-05-27T00:00:00"/>
    <x v="14"/>
    <n v="15276"/>
    <n v="1350199.5"/>
    <n v="18"/>
    <n v="962"/>
    <n v="859"/>
    <x v="498"/>
    <x v="0"/>
  </r>
  <r>
    <d v="2020-06-01T00:00:00"/>
    <x v="17"/>
    <n v="4408.5"/>
    <n v="410892"/>
    <n v="6"/>
    <n v="237"/>
    <n v="175"/>
    <x v="499"/>
    <x v="5"/>
  </r>
  <r>
    <d v="2020-05-29T00:00:00"/>
    <x v="15"/>
    <n v="9927"/>
    <n v="850840.5"/>
    <n v="7"/>
    <n v="491"/>
    <n v="411"/>
    <x v="500"/>
    <x v="0"/>
  </r>
  <r>
    <d v="2020-06-01T00:00:00"/>
    <x v="15"/>
    <n v="9474"/>
    <n v="802447.5"/>
    <n v="7"/>
    <n v="500"/>
    <n v="418"/>
    <x v="501"/>
    <x v="5"/>
  </r>
  <r>
    <d v="2020-05-29T00:00:00"/>
    <x v="14"/>
    <n v="16878"/>
    <n v="1438255.5"/>
    <n v="18"/>
    <n v="1014"/>
    <n v="893"/>
    <x v="502"/>
    <x v="0"/>
  </r>
  <r>
    <d v="2020-06-01T00:00:00"/>
    <x v="14"/>
    <n v="14238"/>
    <n v="1293219"/>
    <n v="18"/>
    <n v="923"/>
    <n v="824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6592E-27A5-4D40-8E10-28CDFBB46691}" name="Сводная таблица3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/Неделя">
  <location ref="H4:I23" firstHeaderRow="1" firstDataRow="1" firstDataCol="1" rowPageCount="1" colPageCount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3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Page" multipleItemSelectionAllowed="1" showAll="0">
      <items count="7">
        <item h="1" x="4"/>
        <item h="1" x="3"/>
        <item h="1" x="1"/>
        <item h="1" x="2"/>
        <item h="1" x="0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8" hier="-1"/>
  </pageFields>
  <dataFields count="1">
    <dataField name="Сумма по полю Товарооборот на склад" fld="7" baseField="0" baseItem="0" numFmtId="3"/>
  </dataFields>
  <formats count="22">
    <format dxfId="28">
      <pivotArea type="all" dataOnly="0" outline="0" fieldPosition="0"/>
    </format>
    <format dxfId="29">
      <pivotArea outline="0" collapsedLevelsAreSubtotals="1" fieldPosition="0"/>
    </format>
    <format dxfId="30">
      <pivotArea type="origin" dataOnly="0" labelOnly="1" outline="0" fieldPosition="0"/>
    </format>
    <format dxfId="31">
      <pivotArea field="1" type="button" dataOnly="0" labelOnly="1" outline="0" axis="axisRow" fieldPosition="0"/>
    </format>
    <format dxfId="32">
      <pivotArea field="-2" type="button" dataOnly="0" labelOnly="1" outline="0" axis="axisValues" fieldPosition="0"/>
    </format>
    <format dxfId="33">
      <pivotArea type="topRight" dataOnly="0" labelOnly="1" outline="0" fieldPosition="0"/>
    </format>
    <format dxfId="34">
      <pivotArea field="8" type="button" dataOnly="0" labelOnly="1" outline="0" axis="axisPage" fieldPosition="0"/>
    </format>
    <format dxfId="35">
      <pivotArea dataOnly="0" labelOnly="1" grandRow="1" outline="0" fieldPosition="0"/>
    </format>
    <format dxfId="36">
      <pivotArea outline="0" collapsedLevelsAreSubtotals="1" fieldPosition="0"/>
    </format>
    <format dxfId="37">
      <pivotArea field="1" type="button" dataOnly="0" labelOnly="1" outline="0" axis="axisRow" fieldPosition="0"/>
    </format>
    <format dxfId="38">
      <pivotArea field="-2" type="button" dataOnly="0" labelOnly="1" outline="0" axis="axisValues" fieldPosition="0"/>
    </format>
    <format dxfId="39">
      <pivotArea type="topRight" dataOnly="0" labelOnly="1" outline="0" fieldPosition="0"/>
    </format>
    <format dxfId="40">
      <pivotArea outline="0" collapsedLevelsAreSubtotals="1" fieldPosition="0"/>
    </format>
    <format dxfId="41">
      <pivotArea field="1" type="button" dataOnly="0" labelOnly="1" outline="0" axis="axisRow" fieldPosition="0"/>
    </format>
    <format dxfId="42">
      <pivotArea field="-2" type="button" dataOnly="0" labelOnly="1" outline="0" axis="axisValues" fieldPosition="0"/>
    </format>
    <format dxfId="43">
      <pivotArea type="topRight" dataOnly="0" labelOnly="1" outline="0" fieldPosition="0"/>
    </format>
    <format dxfId="44">
      <pivotArea outline="0" collapsedLevelsAreSubtotals="1" fieldPosition="0"/>
    </format>
    <format dxfId="45">
      <pivotArea field="1" type="button" dataOnly="0" labelOnly="1" outline="0" axis="axisRow" fieldPosition="0"/>
    </format>
    <format dxfId="46">
      <pivotArea field="-2" type="button" dataOnly="0" labelOnly="1" outline="0" axis="axisValues" fieldPosition="0"/>
    </format>
    <format dxfId="47">
      <pivotArea type="topRight" dataOnly="0" labelOnly="1" outline="0" fieldPosition="0"/>
    </format>
    <format dxfId="7">
      <pivotArea collapsedLevelsAreSubtotals="1" fieldPosition="0">
        <references count="1">
          <reference field="1" count="3">
            <x v="5"/>
            <x v="6"/>
            <x v="12"/>
          </reference>
        </references>
      </pivotArea>
    </format>
    <format dxfId="6">
      <pivotArea dataOnly="0" labelOnly="1" fieldPosition="0">
        <references count="1">
          <reference field="1" count="3">
            <x v="5"/>
            <x v="6"/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6032BE-D4DD-44FD-A099-EE0D29DF205F}" name="Сводная таблица2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/Неделя">
  <location ref="E3:F22" firstHeaderRow="1" firstDataRow="1" firstDataCol="1"/>
  <pivotFields count="9">
    <pivotField numFmtId="164" showAll="0"/>
    <pivotField axis="axisRow"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numFmtId="3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Items count="1">
    <i/>
  </colItems>
  <dataFields count="1">
    <dataField name="Сумма по полю Товарооборот, руб" fld="3" showDataAs="percentOfTotal" baseField="0" baseItem="0" numFmtId="10"/>
  </dataFields>
  <formats count="25">
    <format dxfId="394">
      <pivotArea type="all" dataOnly="0" outline="0" fieldPosition="0"/>
    </format>
    <format dxfId="395">
      <pivotArea outline="0" collapsedLevelsAreSubtotals="1" fieldPosition="0"/>
    </format>
    <format dxfId="396">
      <pivotArea type="origin" dataOnly="0" labelOnly="1" outline="0" fieldPosition="0"/>
    </format>
    <format dxfId="397">
      <pivotArea field="1" type="button" dataOnly="0" labelOnly="1" outline="0" axis="axisRow" fieldPosition="0"/>
    </format>
    <format dxfId="398">
      <pivotArea field="-2" type="button" dataOnly="0" labelOnly="1" outline="0" axis="axisValues" fieldPosition="0"/>
    </format>
    <format dxfId="399">
      <pivotArea type="topRight" dataOnly="0" labelOnly="1" outline="0" fieldPosition="0"/>
    </format>
    <format dxfId="400">
      <pivotArea field="8" type="button" dataOnly="0" labelOnly="1" outline="0"/>
    </format>
    <format dxfId="401">
      <pivotArea dataOnly="0" labelOnly="1" grandRow="1" outline="0" fieldPosition="0"/>
    </format>
    <format dxfId="402">
      <pivotArea outline="0" collapsedLevelsAreSubtotals="1" fieldPosition="0"/>
    </format>
    <format dxfId="403">
      <pivotArea field="1" type="button" dataOnly="0" labelOnly="1" outline="0" axis="axisRow" fieldPosition="0"/>
    </format>
    <format dxfId="404">
      <pivotArea field="-2" type="button" dataOnly="0" labelOnly="1" outline="0" axis="axisValues" fieldPosition="0"/>
    </format>
    <format dxfId="405">
      <pivotArea type="topRight" dataOnly="0" labelOnly="1" outline="0" fieldPosition="0"/>
    </format>
    <format dxfId="406">
      <pivotArea outline="0" collapsedLevelsAreSubtotals="1" fieldPosition="0"/>
    </format>
    <format dxfId="407">
      <pivotArea field="1" type="button" dataOnly="0" labelOnly="1" outline="0" axis="axisRow" fieldPosition="0"/>
    </format>
    <format dxfId="408">
      <pivotArea field="-2" type="button" dataOnly="0" labelOnly="1" outline="0" axis="axisValues" fieldPosition="0"/>
    </format>
    <format dxfId="409">
      <pivotArea type="topRight" dataOnly="0" labelOnly="1" outline="0" fieldPosition="0"/>
    </format>
    <format dxfId="410">
      <pivotArea outline="0" collapsedLevelsAreSubtotals="1" fieldPosition="0"/>
    </format>
    <format dxfId="411">
      <pivotArea field="1" type="button" dataOnly="0" labelOnly="1" outline="0" axis="axisRow" fieldPosition="0"/>
    </format>
    <format dxfId="412">
      <pivotArea field="-2" type="button" dataOnly="0" labelOnly="1" outline="0" axis="axisValues" fieldPosition="0"/>
    </format>
    <format dxfId="413">
      <pivotArea type="topRight" dataOnly="0" labelOnly="1" outline="0" fieldPosition="0"/>
    </format>
    <format dxfId="414">
      <pivotArea outline="0" fieldPosition="0">
        <references count="1">
          <reference field="4294967294" count="1">
            <x v="0"/>
          </reference>
        </references>
      </pivotArea>
    </format>
    <format dxfId="372">
      <pivotArea collapsedLevelsAreSubtotals="1" fieldPosition="0">
        <references count="1">
          <reference field="1" count="3">
            <x v="6"/>
            <x v="12"/>
            <x v="13"/>
          </reference>
        </references>
      </pivotArea>
    </format>
    <format dxfId="371">
      <pivotArea dataOnly="0" labelOnly="1" fieldPosition="0">
        <references count="1">
          <reference field="1" count="3">
            <x v="6"/>
            <x v="12"/>
            <x v="13"/>
          </reference>
        </references>
      </pivotArea>
    </format>
    <format dxfId="370">
      <pivotArea dataOnly="0" labelOnly="1" fieldPosition="0">
        <references count="1">
          <reference field="1" count="3">
            <x v="6"/>
            <x v="12"/>
            <x v="13"/>
          </reference>
        </references>
      </pivotArea>
    </format>
    <format dxfId="5">
      <pivotArea dataOnly="0" fieldPosition="0">
        <references count="1">
          <reference field="1" count="3">
            <x v="6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70518-C71E-4F28-916F-A688BD4C8AE4}" name="Сводная таблица1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Территория/Неделя">
  <location ref="A3:C114" firstHeaderRow="0" firstDataRow="1" firstDataCol="1"/>
  <pivotFields count="9">
    <pivotField numFmtId="164" showAll="0"/>
    <pivotField axis="axisRow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</pivotField>
    <pivotField showAll="0"/>
    <pivotField dataField="1" showAll="0"/>
    <pivotField showAll="0"/>
    <pivotField showAll="0"/>
    <pivotField showAll="0"/>
    <pivotField dataField="1" numFmtId="3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63"/>
        <item x="349"/>
        <item x="252"/>
        <item x="350"/>
        <item x="355"/>
        <item x="371"/>
        <item x="376"/>
        <item x="368"/>
        <item x="497"/>
        <item x="499"/>
        <item x="72"/>
        <item x="373"/>
        <item x="225"/>
        <item x="245"/>
        <item x="496"/>
        <item x="76"/>
        <item x="364"/>
        <item x="503"/>
        <item x="461"/>
        <item x="246"/>
        <item x="356"/>
        <item x="223"/>
        <item x="362"/>
        <item x="58"/>
        <item x="454"/>
        <item x="63"/>
        <item x="405"/>
        <item x="232"/>
        <item x="238"/>
        <item x="253"/>
        <item x="254"/>
        <item x="370"/>
        <item x="463"/>
        <item x="224"/>
        <item x="234"/>
        <item x="465"/>
        <item x="228"/>
        <item x="241"/>
        <item x="498"/>
        <item x="361"/>
        <item x="365"/>
        <item x="250"/>
        <item x="495"/>
        <item x="375"/>
        <item x="387"/>
        <item x="288"/>
        <item x="492"/>
        <item x="455"/>
        <item x="384"/>
        <item x="366"/>
        <item x="269"/>
        <item x="397"/>
        <item x="66"/>
        <item x="59"/>
        <item x="266"/>
        <item x="502"/>
        <item x="458"/>
        <item x="369"/>
        <item x="243"/>
        <item x="372"/>
        <item x="229"/>
        <item x="235"/>
        <item x="222"/>
        <item x="456"/>
        <item x="264"/>
        <item x="354"/>
        <item x="80"/>
        <item x="233"/>
        <item x="283"/>
        <item x="56"/>
        <item x="240"/>
        <item x="220"/>
        <item x="79"/>
        <item x="68"/>
        <item x="67"/>
        <item x="263"/>
        <item x="226"/>
        <item x="262"/>
        <item x="275"/>
        <item x="237"/>
        <item x="62"/>
        <item x="230"/>
        <item x="453"/>
        <item x="242"/>
        <item x="457"/>
        <item x="221"/>
        <item x="231"/>
        <item x="244"/>
        <item x="64"/>
        <item x="407"/>
        <item x="258"/>
        <item x="55"/>
        <item x="459"/>
        <item x="451"/>
        <item x="90"/>
        <item x="78"/>
        <item x="470"/>
        <item x="227"/>
        <item x="460"/>
        <item x="239"/>
        <item x="408"/>
        <item x="491"/>
        <item x="61"/>
        <item x="386"/>
        <item x="381"/>
        <item x="284"/>
        <item x="77"/>
        <item x="285"/>
        <item x="404"/>
        <item x="75"/>
        <item x="65"/>
        <item x="462"/>
        <item x="452"/>
        <item x="81"/>
        <item x="57"/>
        <item x="402"/>
        <item x="219"/>
        <item x="236"/>
        <item x="96"/>
        <item x="83"/>
        <item x="54"/>
        <item x="274"/>
        <item x="286"/>
        <item x="469"/>
        <item x="99"/>
        <item x="168"/>
        <item x="501"/>
        <item x="409"/>
        <item x="279"/>
        <item x="472"/>
        <item x="100"/>
        <item x="292"/>
        <item x="25"/>
        <item x="278"/>
        <item x="385"/>
        <item x="7"/>
        <item x="360"/>
        <item x="282"/>
        <item x="103"/>
        <item x="105"/>
        <item x="276"/>
        <item x="468"/>
        <item x="293"/>
        <item x="500"/>
        <item x="18"/>
        <item x="471"/>
        <item x="466"/>
        <item x="195"/>
        <item x="12"/>
        <item x="392"/>
        <item x="106"/>
        <item x="73"/>
        <item x="93"/>
        <item x="98"/>
        <item x="92"/>
        <item x="17"/>
        <item x="281"/>
        <item x="273"/>
        <item x="289"/>
        <item x="97"/>
        <item x="24"/>
        <item x="82"/>
        <item x="256"/>
        <item x="410"/>
        <item x="299"/>
        <item x="272"/>
        <item x="416"/>
        <item x="389"/>
        <item x="271"/>
        <item x="88"/>
        <item x="473"/>
        <item x="13"/>
        <item x="248"/>
        <item x="4"/>
        <item x="201"/>
        <item x="379"/>
        <item x="280"/>
        <item x="294"/>
        <item x="297"/>
        <item x="89"/>
        <item x="467"/>
        <item x="16"/>
        <item x="388"/>
        <item x="290"/>
        <item x="6"/>
        <item x="205"/>
        <item x="415"/>
        <item x="207"/>
        <item x="5"/>
        <item x="194"/>
        <item x="14"/>
        <item x="214"/>
        <item x="391"/>
        <item x="193"/>
        <item x="29"/>
        <item x="95"/>
        <item x="86"/>
        <item x="211"/>
        <item x="474"/>
        <item x="102"/>
        <item x="437"/>
        <item x="260"/>
        <item x="390"/>
        <item x="15"/>
        <item x="91"/>
        <item x="403"/>
        <item x="291"/>
        <item x="8"/>
        <item x="107"/>
        <item x="411"/>
        <item x="26"/>
        <item x="445"/>
        <item x="198"/>
        <item x="192"/>
        <item x="19"/>
        <item x="383"/>
        <item x="22"/>
        <item x="10"/>
        <item x="186"/>
        <item x="440"/>
        <item x="108"/>
        <item x="94"/>
        <item x="110"/>
        <item x="298"/>
        <item x="9"/>
        <item x="104"/>
        <item x="413"/>
        <item x="202"/>
        <item x="448"/>
        <item x="382"/>
        <item x="85"/>
        <item x="180"/>
        <item x="191"/>
        <item x="213"/>
        <item x="87"/>
        <item x="171"/>
        <item x="270"/>
        <item x="166"/>
        <item x="417"/>
        <item x="203"/>
        <item x="436"/>
        <item x="23"/>
        <item x="183"/>
        <item x="21"/>
        <item x="393"/>
        <item x="447"/>
        <item x="174"/>
        <item x="439"/>
        <item x="3"/>
        <item x="287"/>
        <item x="172"/>
        <item x="418"/>
        <item x="169"/>
        <item x="215"/>
        <item x="209"/>
        <item x="435"/>
        <item x="164"/>
        <item x="27"/>
        <item x="434"/>
        <item x="277"/>
        <item x="444"/>
        <item x="11"/>
        <item x="212"/>
        <item x="190"/>
        <item x="101"/>
        <item x="188"/>
        <item x="210"/>
        <item x="84"/>
        <item x="412"/>
        <item x="163"/>
        <item x="187"/>
        <item x="20"/>
        <item x="178"/>
        <item x="216"/>
        <item x="175"/>
        <item x="441"/>
        <item x="204"/>
        <item x="176"/>
        <item x="196"/>
        <item x="218"/>
        <item x="36"/>
        <item x="167"/>
        <item x="449"/>
        <item x="442"/>
        <item x="199"/>
        <item x="109"/>
        <item x="162"/>
        <item x="208"/>
        <item x="200"/>
        <item x="450"/>
        <item x="117"/>
        <item x="184"/>
        <item x="422"/>
        <item x="189"/>
        <item x="400"/>
        <item x="170"/>
        <item x="446"/>
        <item x="28"/>
        <item x="133"/>
        <item x="173"/>
        <item x="46"/>
        <item x="181"/>
        <item x="165"/>
        <item x="33"/>
        <item x="217"/>
        <item x="51"/>
        <item x="125"/>
        <item x="414"/>
        <item x="39"/>
        <item x="398"/>
        <item x="113"/>
        <item x="53"/>
        <item x="112"/>
        <item x="129"/>
        <item x="123"/>
        <item x="52"/>
        <item x="399"/>
        <item x="423"/>
        <item x="40"/>
        <item x="74"/>
        <item x="34"/>
        <item x="48"/>
        <item x="185"/>
        <item x="197"/>
        <item x="37"/>
        <item x="121"/>
        <item x="118"/>
        <item x="394"/>
        <item x="421"/>
        <item x="155"/>
        <item x="424"/>
        <item x="134"/>
        <item x="32"/>
        <item x="31"/>
        <item x="396"/>
        <item x="126"/>
        <item x="401"/>
        <item x="127"/>
        <item x="42"/>
        <item x="120"/>
        <item x="44"/>
        <item x="45"/>
        <item x="49"/>
        <item x="419"/>
        <item x="150"/>
        <item x="115"/>
        <item x="122"/>
        <item x="124"/>
        <item x="420"/>
        <item x="131"/>
        <item x="443"/>
        <item x="114"/>
        <item x="43"/>
        <item x="35"/>
        <item x="41"/>
        <item x="406"/>
        <item x="119"/>
        <item x="116"/>
        <item x="50"/>
        <item x="69"/>
        <item x="30"/>
        <item x="206"/>
        <item x="395"/>
        <item x="111"/>
        <item x="425"/>
        <item x="130"/>
        <item x="141"/>
        <item x="47"/>
        <item x="160"/>
        <item x="429"/>
        <item x="128"/>
        <item x="152"/>
        <item x="147"/>
        <item x="38"/>
        <item x="151"/>
        <item x="137"/>
        <item x="431"/>
        <item x="132"/>
        <item x="71"/>
        <item x="136"/>
        <item x="156"/>
        <item x="149"/>
        <item x="478"/>
        <item x="428"/>
        <item x="145"/>
        <item x="432"/>
        <item x="153"/>
        <item x="161"/>
        <item x="182"/>
        <item x="139"/>
        <item x="142"/>
        <item x="138"/>
        <item x="158"/>
        <item x="485"/>
        <item x="426"/>
        <item x="427"/>
        <item x="144"/>
        <item x="146"/>
        <item x="177"/>
        <item x="148"/>
        <item x="309"/>
        <item x="143"/>
        <item x="430"/>
        <item x="314"/>
        <item x="303"/>
        <item x="302"/>
        <item x="477"/>
        <item x="480"/>
        <item x="140"/>
        <item x="306"/>
        <item x="323"/>
        <item x="327"/>
        <item x="433"/>
        <item x="135"/>
        <item x="479"/>
        <item x="326"/>
        <item x="342"/>
        <item x="157"/>
        <item x="329"/>
        <item x="488"/>
        <item x="332"/>
        <item x="336"/>
        <item x="318"/>
        <item x="484"/>
        <item x="348"/>
        <item x="296"/>
        <item x="353"/>
        <item x="301"/>
        <item x="337"/>
        <item x="311"/>
        <item x="295"/>
        <item x="343"/>
        <item x="487"/>
        <item x="313"/>
        <item x="310"/>
        <item x="154"/>
        <item x="312"/>
        <item x="476"/>
        <item x="179"/>
        <item x="475"/>
        <item x="322"/>
        <item x="325"/>
        <item x="319"/>
        <item x="351"/>
        <item x="481"/>
        <item x="483"/>
        <item x="305"/>
        <item x="335"/>
        <item x="482"/>
        <item x="333"/>
        <item x="316"/>
        <item x="486"/>
        <item x="159"/>
        <item x="300"/>
        <item x="334"/>
        <item x="347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345"/>
        <item x="438"/>
        <item x="330"/>
        <item x="331"/>
        <item x="352"/>
        <item x="315"/>
        <item x="338"/>
        <item x="317"/>
        <item x="341"/>
        <item t="default"/>
      </items>
    </pivotField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2">
    <field x="1"/>
    <field x="8"/>
  </rowFields>
  <rowItems count="111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>
      <x v="11"/>
    </i>
    <i r="1">
      <x v="4"/>
    </i>
    <i r="1">
      <x v="5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>
      <x v="15"/>
    </i>
    <i r="1">
      <x v="4"/>
    </i>
    <i r="1">
      <x v="5"/>
    </i>
    <i>
      <x v="16"/>
    </i>
    <i r="1">
      <x v="4"/>
    </i>
    <i r="1">
      <x v="5"/>
    </i>
    <i>
      <x v="17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7" baseField="0" baseItem="0" numFmtId="3"/>
  </dataFields>
  <formats count="105">
    <format dxfId="1191">
      <pivotArea type="all" dataOnly="0" outline="0" fieldPosition="0"/>
    </format>
    <format dxfId="1190">
      <pivotArea outline="0" collapsedLevelsAreSubtotals="1" fieldPosition="0"/>
    </format>
    <format dxfId="1189">
      <pivotArea type="origin" dataOnly="0" labelOnly="1" outline="0" fieldPosition="0"/>
    </format>
    <format dxfId="1188">
      <pivotArea field="1" type="button" dataOnly="0" labelOnly="1" outline="0" axis="axisRow" fieldPosition="0"/>
    </format>
    <format dxfId="1187">
      <pivotArea field="-2" type="button" dataOnly="0" labelOnly="1" outline="0" axis="axisCol" fieldPosition="0"/>
    </format>
    <format dxfId="1186">
      <pivotArea type="topRight" dataOnly="0" labelOnly="1" outline="0" fieldPosition="0"/>
    </format>
    <format dxfId="1185">
      <pivotArea field="8" type="button" dataOnly="0" labelOnly="1" outline="0" axis="axisRow" fieldPosition="1"/>
    </format>
    <format dxfId="1184">
      <pivotArea dataOnly="0" labelOnly="1" fieldPosition="0">
        <references count="1">
          <reference field="8" count="0"/>
        </references>
      </pivotArea>
    </format>
    <format dxfId="1183">
      <pivotArea dataOnly="0" labelOnly="1" grandRow="1" outline="0" fieldPosition="0"/>
    </format>
    <format dxfId="1182">
      <pivotArea dataOnly="0" labelOnly="1" fieldPosition="0">
        <references count="1">
          <reference field="1" count="0"/>
        </references>
      </pivotArea>
    </format>
    <format dxfId="1181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180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17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117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117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117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"/>
          </reference>
        </references>
      </pivotArea>
    </format>
    <format dxfId="117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4"/>
          </reference>
        </references>
      </pivotArea>
    </format>
    <format dxfId="117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5"/>
          </reference>
        </references>
      </pivotArea>
    </format>
    <format dxfId="117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6"/>
          </reference>
        </references>
      </pivotArea>
    </format>
    <format dxfId="117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7"/>
          </reference>
        </references>
      </pivotArea>
    </format>
    <format dxfId="117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8"/>
          </reference>
        </references>
      </pivotArea>
    </format>
    <format dxfId="117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9"/>
          </reference>
        </references>
      </pivotArea>
    </format>
    <format dxfId="116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0"/>
          </reference>
        </references>
      </pivotArea>
    </format>
    <format dxfId="116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1"/>
          </reference>
        </references>
      </pivotArea>
    </format>
    <format dxfId="116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2"/>
          </reference>
        </references>
      </pivotArea>
    </format>
    <format dxfId="116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3"/>
          </reference>
        </references>
      </pivotArea>
    </format>
    <format dxfId="116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4"/>
          </reference>
        </references>
      </pivotArea>
    </format>
    <format dxfId="116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5"/>
          </reference>
        </references>
      </pivotArea>
    </format>
    <format dxfId="116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6"/>
          </reference>
        </references>
      </pivotArea>
    </format>
    <format dxfId="116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7"/>
          </reference>
        </references>
      </pivotArea>
    </format>
    <format dxfId="1161">
      <pivotArea outline="0" collapsedLevelsAreSubtotals="1" fieldPosition="0"/>
    </format>
    <format dxfId="1160">
      <pivotArea field="1" type="button" dataOnly="0" labelOnly="1" outline="0" axis="axisRow" fieldPosition="0"/>
    </format>
    <format dxfId="1159">
      <pivotArea field="-2" type="button" dataOnly="0" labelOnly="1" outline="0" axis="axisCol" fieldPosition="0"/>
    </format>
    <format dxfId="1158">
      <pivotArea type="topRight" dataOnly="0" labelOnly="1" outline="0" fieldPosition="0"/>
    </format>
    <format dxfId="1157">
      <pivotArea dataOnly="0" labelOnly="1" fieldPosition="0">
        <references count="1">
          <reference field="1" count="0"/>
        </references>
      </pivotArea>
    </format>
    <format dxfId="1156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154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15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115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115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114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"/>
          </reference>
        </references>
      </pivotArea>
    </format>
    <format dxfId="114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4"/>
          </reference>
        </references>
      </pivotArea>
    </format>
    <format dxfId="114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5"/>
          </reference>
        </references>
      </pivotArea>
    </format>
    <format dxfId="114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6"/>
          </reference>
        </references>
      </pivotArea>
    </format>
    <format dxfId="114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7"/>
          </reference>
        </references>
      </pivotArea>
    </format>
    <format dxfId="114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8"/>
          </reference>
        </references>
      </pivotArea>
    </format>
    <format dxfId="114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9"/>
          </reference>
        </references>
      </pivotArea>
    </format>
    <format dxfId="114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0"/>
          </reference>
        </references>
      </pivotArea>
    </format>
    <format dxfId="114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1"/>
          </reference>
        </references>
      </pivotArea>
    </format>
    <format dxfId="114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2"/>
          </reference>
        </references>
      </pivotArea>
    </format>
    <format dxfId="113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3"/>
          </reference>
        </references>
      </pivotArea>
    </format>
    <format dxfId="113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4"/>
          </reference>
        </references>
      </pivotArea>
    </format>
    <format dxfId="113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5"/>
          </reference>
        </references>
      </pivotArea>
    </format>
    <format dxfId="113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6"/>
          </reference>
        </references>
      </pivotArea>
    </format>
    <format dxfId="113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7"/>
          </reference>
        </references>
      </pivotArea>
    </format>
    <format dxfId="1134">
      <pivotArea outline="0" collapsedLevelsAreSubtotals="1" fieldPosition="0"/>
    </format>
    <format dxfId="1133">
      <pivotArea field="1" type="button" dataOnly="0" labelOnly="1" outline="0" axis="axisRow" fieldPosition="0"/>
    </format>
    <format dxfId="1132">
      <pivotArea field="-2" type="button" dataOnly="0" labelOnly="1" outline="0" axis="axisCol" fieldPosition="0"/>
    </format>
    <format dxfId="1131">
      <pivotArea type="topRight" dataOnly="0" labelOnly="1" outline="0" fieldPosition="0"/>
    </format>
    <format dxfId="1130">
      <pivotArea dataOnly="0" labelOnly="1" fieldPosition="0">
        <references count="1">
          <reference field="1" count="0"/>
        </references>
      </pivotArea>
    </format>
    <format dxfId="1129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127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12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112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112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112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"/>
          </reference>
        </references>
      </pivotArea>
    </format>
    <format dxfId="112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4"/>
          </reference>
        </references>
      </pivotArea>
    </format>
    <format dxfId="112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5"/>
          </reference>
        </references>
      </pivotArea>
    </format>
    <format dxfId="111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6"/>
          </reference>
        </references>
      </pivotArea>
    </format>
    <format dxfId="111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7"/>
          </reference>
        </references>
      </pivotArea>
    </format>
    <format dxfId="111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8"/>
          </reference>
        </references>
      </pivotArea>
    </format>
    <format dxfId="111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9"/>
          </reference>
        </references>
      </pivotArea>
    </format>
    <format dxfId="111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0"/>
          </reference>
        </references>
      </pivotArea>
    </format>
    <format dxfId="111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1"/>
          </reference>
        </references>
      </pivotArea>
    </format>
    <format dxfId="111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2"/>
          </reference>
        </references>
      </pivotArea>
    </format>
    <format dxfId="111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3"/>
          </reference>
        </references>
      </pivotArea>
    </format>
    <format dxfId="111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4"/>
          </reference>
        </references>
      </pivotArea>
    </format>
    <format dxfId="111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5"/>
          </reference>
        </references>
      </pivotArea>
    </format>
    <format dxfId="110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6"/>
          </reference>
        </references>
      </pivotArea>
    </format>
    <format dxfId="110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7"/>
          </reference>
        </references>
      </pivotArea>
    </format>
    <format dxfId="1107">
      <pivotArea outline="0" collapsedLevelsAreSubtotals="1" fieldPosition="0"/>
    </format>
    <format dxfId="1106">
      <pivotArea field="1" type="button" dataOnly="0" labelOnly="1" outline="0" axis="axisRow" fieldPosition="0"/>
    </format>
    <format dxfId="1105">
      <pivotArea field="-2" type="button" dataOnly="0" labelOnly="1" outline="0" axis="axisCol" fieldPosition="0"/>
    </format>
    <format dxfId="1104">
      <pivotArea type="topRight" dataOnly="0" labelOnly="1" outline="0" fieldPosition="0"/>
    </format>
    <format dxfId="1103">
      <pivotArea dataOnly="0" labelOnly="1" fieldPosition="0">
        <references count="1">
          <reference field="1" count="0"/>
        </references>
      </pivotArea>
    </format>
    <format dxfId="1102">
      <pivotArea field="1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100">
      <pivotArea field="1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09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0"/>
          </reference>
        </references>
      </pivotArea>
    </format>
    <format dxfId="109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"/>
          </reference>
        </references>
      </pivotArea>
    </format>
    <format dxfId="109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2"/>
          </reference>
        </references>
      </pivotArea>
    </format>
    <format dxfId="109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3"/>
          </reference>
        </references>
      </pivotArea>
    </format>
    <format dxfId="109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4"/>
          </reference>
        </references>
      </pivotArea>
    </format>
    <format dxfId="109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5"/>
          </reference>
        </references>
      </pivotArea>
    </format>
    <format dxfId="109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6"/>
          </reference>
        </references>
      </pivotArea>
    </format>
    <format dxfId="109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7"/>
          </reference>
        </references>
      </pivotArea>
    </format>
    <format dxfId="1090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8"/>
          </reference>
        </references>
      </pivotArea>
    </format>
    <format dxfId="1089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9"/>
          </reference>
        </references>
      </pivotArea>
    </format>
    <format dxfId="1088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0"/>
          </reference>
        </references>
      </pivotArea>
    </format>
    <format dxfId="1087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1"/>
          </reference>
        </references>
      </pivotArea>
    </format>
    <format dxfId="1086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2"/>
          </reference>
        </references>
      </pivotArea>
    </format>
    <format dxfId="1085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3"/>
          </reference>
        </references>
      </pivotArea>
    </format>
    <format dxfId="1084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4"/>
          </reference>
        </references>
      </pivotArea>
    </format>
    <format dxfId="1083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5"/>
          </reference>
        </references>
      </pivotArea>
    </format>
    <format dxfId="1082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6"/>
          </reference>
        </references>
      </pivotArea>
    </format>
    <format dxfId="1081">
      <pivotArea dataOnly="0" labelOnly="1" outline="0" fieldPosition="0">
        <references count="2">
          <reference field="4294967294" count="2">
            <x v="0"/>
            <x v="1"/>
          </reference>
          <reference field="1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715E3-126F-4282-8E49-F31AAE287DB7}" name="Сводная таблица4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>
  <location ref="A3:C10" firstHeaderRow="0" firstDataRow="1" firstDataCol="1"/>
  <pivotFields count="9">
    <pivotField numFmtId="164" showAll="0"/>
    <pivotField showAll="0"/>
    <pivotField showAll="0"/>
    <pivotField dataField="1" showAll="0"/>
    <pivotField showAll="0"/>
    <pivotField showAll="0"/>
    <pivotField showAll="0"/>
    <pivotField dataField="1" numFmtId="3" showAll="0"/>
    <pivotField axis="axisRow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7" baseField="0" baseItem="0" numFmtId="3"/>
  </dataFields>
  <formats count="3">
    <format dxfId="3">
      <pivotArea collapsedLevelsAreSubtotals="1" fieldPosition="0">
        <references count="1">
          <reference field="8" count="0"/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6B6D-1E53-4B7C-84C6-1B6A617B7D37}">
  <dimension ref="A1:AM114"/>
  <sheetViews>
    <sheetView tabSelected="1" zoomScale="85" zoomScaleNormal="85" workbookViewId="0">
      <selection activeCell="F4" sqref="F4:F21"/>
    </sheetView>
  </sheetViews>
  <sheetFormatPr defaultRowHeight="14.4" x14ac:dyDescent="0.3"/>
  <cols>
    <col min="1" max="1" width="19.21875" bestFit="1" customWidth="1"/>
    <col min="2" max="3" width="15.109375" style="23" customWidth="1"/>
    <col min="4" max="4" width="13.44140625" style="23" customWidth="1"/>
    <col min="5" max="5" width="25" bestFit="1" customWidth="1"/>
    <col min="6" max="6" width="15.44140625" style="23" bestFit="1" customWidth="1"/>
    <col min="7" max="7" width="15" style="23" bestFit="1" customWidth="1"/>
    <col min="8" max="8" width="25" style="23" bestFit="1" customWidth="1"/>
    <col min="9" max="9" width="23.109375" style="23" bestFit="1" customWidth="1"/>
    <col min="10" max="39" width="11.77734375" style="23" customWidth="1"/>
    <col min="40" max="132" width="6.44140625" bestFit="1" customWidth="1"/>
    <col min="133" max="505" width="7.44140625" bestFit="1" customWidth="1"/>
    <col min="506" max="506" width="11.33203125" bestFit="1" customWidth="1"/>
  </cols>
  <sheetData>
    <row r="1" spans="1:39" x14ac:dyDescent="0.3">
      <c r="A1" s="26" t="s">
        <v>33</v>
      </c>
      <c r="B1" s="26"/>
      <c r="C1" s="26"/>
      <c r="E1" s="26" t="s">
        <v>32</v>
      </c>
      <c r="F1" s="26"/>
      <c r="H1" s="27" t="s">
        <v>34</v>
      </c>
      <c r="I1" s="27"/>
      <c r="J1" s="27"/>
      <c r="K1" s="27"/>
    </row>
    <row r="2" spans="1:39" x14ac:dyDescent="0.3">
      <c r="H2" s="17" t="s">
        <v>8</v>
      </c>
      <c r="I2" s="18">
        <v>23</v>
      </c>
    </row>
    <row r="3" spans="1:39" ht="43.2" x14ac:dyDescent="0.3">
      <c r="A3" s="21" t="s">
        <v>31</v>
      </c>
      <c r="B3" s="22" t="s">
        <v>30</v>
      </c>
      <c r="C3" s="22" t="s">
        <v>29</v>
      </c>
      <c r="D3"/>
      <c r="E3" s="21" t="s">
        <v>31</v>
      </c>
      <c r="F3" s="22" t="s">
        <v>30</v>
      </c>
      <c r="G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  <row r="4" spans="1:39" ht="33.6" customHeight="1" x14ac:dyDescent="0.3">
      <c r="A4" s="22" t="s">
        <v>16</v>
      </c>
      <c r="B4" s="22">
        <v>218000127</v>
      </c>
      <c r="C4" s="22">
        <v>6029485.6216216208</v>
      </c>
      <c r="D4"/>
      <c r="E4" s="30" t="s">
        <v>15</v>
      </c>
      <c r="F4" s="31">
        <v>0.27823940999755076</v>
      </c>
      <c r="G4"/>
      <c r="H4" s="21" t="s">
        <v>31</v>
      </c>
      <c r="I4" s="22" t="s">
        <v>29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</row>
    <row r="5" spans="1:39" x14ac:dyDescent="0.3">
      <c r="A5" s="24">
        <v>18</v>
      </c>
      <c r="B5" s="22">
        <v>36934095</v>
      </c>
      <c r="C5" s="22">
        <v>1025947.0833333334</v>
      </c>
      <c r="D5"/>
      <c r="E5" s="30" t="s">
        <v>14</v>
      </c>
      <c r="F5" s="31">
        <v>0.20869355411640439</v>
      </c>
      <c r="G5"/>
      <c r="H5" s="28" t="s">
        <v>22</v>
      </c>
      <c r="I5" s="29">
        <v>350262.86111111112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</row>
    <row r="6" spans="1:39" x14ac:dyDescent="0.3">
      <c r="A6" s="24">
        <v>19</v>
      </c>
      <c r="B6" s="22">
        <v>43307155.5</v>
      </c>
      <c r="C6" s="22">
        <v>1202976.5416666667</v>
      </c>
      <c r="D6"/>
      <c r="E6" s="30" t="s">
        <v>21</v>
      </c>
      <c r="F6" s="31">
        <v>0.15600381182365852</v>
      </c>
      <c r="G6"/>
      <c r="H6" s="28" t="s">
        <v>21</v>
      </c>
      <c r="I6" s="29">
        <v>329921.56779661018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</row>
    <row r="7" spans="1:39" x14ac:dyDescent="0.3">
      <c r="A7" s="24">
        <v>20</v>
      </c>
      <c r="B7" s="22">
        <v>41300679</v>
      </c>
      <c r="C7" s="22">
        <v>1147241.0833333333</v>
      </c>
      <c r="D7"/>
      <c r="E7" s="18" t="s">
        <v>22</v>
      </c>
      <c r="F7" s="25">
        <v>0.1487446586821162</v>
      </c>
      <c r="G7"/>
      <c r="H7" s="28" t="s">
        <v>15</v>
      </c>
      <c r="I7" s="29">
        <v>302909.26976707316</v>
      </c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</row>
    <row r="8" spans="1:39" x14ac:dyDescent="0.3">
      <c r="A8" s="24">
        <v>21</v>
      </c>
      <c r="B8" s="22">
        <v>44172813</v>
      </c>
      <c r="C8" s="22">
        <v>1227022.5833333335</v>
      </c>
      <c r="D8"/>
      <c r="E8" s="18" t="s">
        <v>11</v>
      </c>
      <c r="F8" s="25">
        <v>4.9051064796573195E-2</v>
      </c>
      <c r="G8"/>
      <c r="H8" s="18" t="s">
        <v>11</v>
      </c>
      <c r="I8" s="22">
        <v>220320.04838709679</v>
      </c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</row>
    <row r="9" spans="1:39" x14ac:dyDescent="0.3">
      <c r="A9" s="24">
        <v>22</v>
      </c>
      <c r="B9" s="22">
        <v>46485094.5</v>
      </c>
      <c r="C9" s="22">
        <v>1269533.7353603602</v>
      </c>
      <c r="D9"/>
      <c r="E9" s="18" t="s">
        <v>16</v>
      </c>
      <c r="F9" s="25">
        <v>4.3930742911644949E-2</v>
      </c>
      <c r="G9"/>
      <c r="H9" s="18" t="s">
        <v>14</v>
      </c>
      <c r="I9" s="22">
        <v>216953.84765625</v>
      </c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x14ac:dyDescent="0.3">
      <c r="A10" s="24">
        <v>23</v>
      </c>
      <c r="B10" s="22">
        <v>5800290</v>
      </c>
      <c r="C10" s="22">
        <v>156764.59459459459</v>
      </c>
      <c r="D10"/>
      <c r="E10" s="18" t="s">
        <v>17</v>
      </c>
      <c r="F10" s="25">
        <v>2.4299497824621857E-2</v>
      </c>
      <c r="G10"/>
      <c r="H10" s="18" t="s">
        <v>17</v>
      </c>
      <c r="I10" s="22">
        <v>168054.39130434784</v>
      </c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x14ac:dyDescent="0.3">
      <c r="A11" s="22" t="s">
        <v>11</v>
      </c>
      <c r="B11" s="22">
        <v>243409003.5</v>
      </c>
      <c r="C11" s="22">
        <v>7851903.3387096785</v>
      </c>
      <c r="D11"/>
      <c r="E11" s="18" t="s">
        <v>10</v>
      </c>
      <c r="F11" s="25">
        <v>2.0488951132439048E-2</v>
      </c>
      <c r="G11"/>
      <c r="H11" s="18" t="s">
        <v>16</v>
      </c>
      <c r="I11" s="22">
        <v>156764.59459459459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x14ac:dyDescent="0.3">
      <c r="A12" s="24">
        <v>18</v>
      </c>
      <c r="B12" s="22">
        <v>42828757.5</v>
      </c>
      <c r="C12" s="22">
        <v>1381572.8225806451</v>
      </c>
      <c r="D12"/>
      <c r="E12" s="18" t="s">
        <v>13</v>
      </c>
      <c r="F12" s="25">
        <v>1.9263478180160522E-2</v>
      </c>
      <c r="G12"/>
      <c r="H12" s="18" t="s">
        <v>13</v>
      </c>
      <c r="I12" s="22">
        <v>150675.6</v>
      </c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x14ac:dyDescent="0.3">
      <c r="A13" s="24">
        <v>19</v>
      </c>
      <c r="B13" s="22">
        <v>46366009.5</v>
      </c>
      <c r="C13" s="22">
        <v>1495677.7258064516</v>
      </c>
      <c r="E13" s="18" t="s">
        <v>20</v>
      </c>
      <c r="F13" s="25">
        <v>1.7302774294285901E-2</v>
      </c>
      <c r="G13"/>
      <c r="H13" s="18" t="s">
        <v>10</v>
      </c>
      <c r="I13" s="22">
        <v>140239.78571428571</v>
      </c>
      <c r="J13"/>
    </row>
    <row r="14" spans="1:39" x14ac:dyDescent="0.3">
      <c r="A14" s="24">
        <v>20</v>
      </c>
      <c r="B14" s="22">
        <v>47079841.5</v>
      </c>
      <c r="C14" s="22">
        <v>1518704.564516129</v>
      </c>
      <c r="E14" s="18" t="s">
        <v>18</v>
      </c>
      <c r="F14" s="25">
        <v>9.8346447456277158E-3</v>
      </c>
      <c r="G14"/>
      <c r="H14" s="18" t="s">
        <v>20</v>
      </c>
      <c r="I14" s="22">
        <v>120903.21428571429</v>
      </c>
      <c r="J14"/>
    </row>
    <row r="15" spans="1:39" x14ac:dyDescent="0.3">
      <c r="A15" s="24">
        <v>21</v>
      </c>
      <c r="B15" s="22">
        <v>49575288</v>
      </c>
      <c r="C15" s="22">
        <v>1599202.8387096773</v>
      </c>
      <c r="E15" s="18" t="s">
        <v>23</v>
      </c>
      <c r="F15" s="25">
        <v>8.2691776643069263E-3</v>
      </c>
      <c r="G15"/>
      <c r="H15" s="18" t="s">
        <v>24</v>
      </c>
      <c r="I15" s="22">
        <v>114635.35714285714</v>
      </c>
      <c r="J15"/>
    </row>
    <row r="16" spans="1:39" x14ac:dyDescent="0.3">
      <c r="A16" s="24">
        <v>22</v>
      </c>
      <c r="B16" s="22">
        <v>50729185.5</v>
      </c>
      <c r="C16" s="22">
        <v>1636425.3387096773</v>
      </c>
      <c r="E16" s="18" t="s">
        <v>19</v>
      </c>
      <c r="F16" s="25">
        <v>7.016128111058147E-3</v>
      </c>
      <c r="G16"/>
      <c r="H16" s="18" t="s">
        <v>12</v>
      </c>
      <c r="I16" s="22">
        <v>100774.2</v>
      </c>
      <c r="J16"/>
    </row>
    <row r="17" spans="1:10" x14ac:dyDescent="0.3">
      <c r="A17" s="24">
        <v>23</v>
      </c>
      <c r="B17" s="22">
        <v>6829921.5</v>
      </c>
      <c r="C17" s="22">
        <v>220320.04838709679</v>
      </c>
      <c r="E17" s="18" t="s">
        <v>12</v>
      </c>
      <c r="F17" s="25">
        <v>6.6918903987886027E-3</v>
      </c>
      <c r="G17"/>
      <c r="H17" s="18" t="s">
        <v>19</v>
      </c>
      <c r="I17" s="22">
        <v>97852.03125</v>
      </c>
      <c r="J17"/>
    </row>
    <row r="18" spans="1:10" x14ac:dyDescent="0.3">
      <c r="A18" s="22" t="s">
        <v>17</v>
      </c>
      <c r="B18" s="22">
        <v>120582837</v>
      </c>
      <c r="C18" s="22">
        <v>5758962.388669055</v>
      </c>
      <c r="E18" s="18" t="s">
        <v>24</v>
      </c>
      <c r="F18" s="25">
        <v>1.1414240187458753E-3</v>
      </c>
      <c r="G18"/>
      <c r="H18" s="18" t="s">
        <v>18</v>
      </c>
      <c r="I18" s="22">
        <v>89800.5</v>
      </c>
      <c r="J18"/>
    </row>
    <row r="19" spans="1:10" x14ac:dyDescent="0.3">
      <c r="A19" s="24">
        <v>18</v>
      </c>
      <c r="B19" s="22">
        <v>17828215.5</v>
      </c>
      <c r="C19" s="22">
        <v>905861.28947368427</v>
      </c>
      <c r="E19" s="18" t="s">
        <v>9</v>
      </c>
      <c r="F19" s="25">
        <v>6.735905954786441E-4</v>
      </c>
      <c r="G19"/>
      <c r="H19" s="18" t="s">
        <v>23</v>
      </c>
      <c r="I19" s="22">
        <v>71845.5</v>
      </c>
      <c r="J19"/>
    </row>
    <row r="20" spans="1:10" x14ac:dyDescent="0.3">
      <c r="A20" s="24">
        <v>19</v>
      </c>
      <c r="B20" s="22">
        <v>20974521</v>
      </c>
      <c r="C20" s="22">
        <v>1018321.6392857142</v>
      </c>
      <c r="E20" s="18" t="s">
        <v>25</v>
      </c>
      <c r="F20" s="25">
        <v>1.779206142441779E-4</v>
      </c>
      <c r="G20"/>
      <c r="H20" s="18" t="s">
        <v>26</v>
      </c>
      <c r="I20" s="22">
        <v>68482</v>
      </c>
      <c r="J20"/>
    </row>
    <row r="21" spans="1:10" x14ac:dyDescent="0.3">
      <c r="A21" s="24">
        <v>20</v>
      </c>
      <c r="B21" s="22">
        <v>23603355</v>
      </c>
      <c r="C21" s="22">
        <v>1123969.2857142857</v>
      </c>
      <c r="E21" s="18" t="s">
        <v>26</v>
      </c>
      <c r="F21" s="25">
        <v>1.7728009229464408E-4</v>
      </c>
      <c r="G21"/>
      <c r="H21" s="18" t="s">
        <v>25</v>
      </c>
      <c r="I21" s="22">
        <v>43223.666666666664</v>
      </c>
      <c r="J21"/>
    </row>
    <row r="22" spans="1:10" x14ac:dyDescent="0.3">
      <c r="A22" s="24">
        <v>21</v>
      </c>
      <c r="B22" s="22">
        <v>26815804.5</v>
      </c>
      <c r="C22" s="22">
        <v>1276943.0714285714</v>
      </c>
      <c r="E22" s="18" t="s">
        <v>28</v>
      </c>
      <c r="F22" s="25">
        <v>1</v>
      </c>
      <c r="G22"/>
      <c r="H22" s="18" t="s">
        <v>9</v>
      </c>
      <c r="I22" s="22">
        <v>42423</v>
      </c>
      <c r="J22"/>
    </row>
    <row r="23" spans="1:10" x14ac:dyDescent="0.3">
      <c r="A23" s="24">
        <v>22</v>
      </c>
      <c r="B23" s="22">
        <v>27495690</v>
      </c>
      <c r="C23" s="22">
        <v>1265812.7114624507</v>
      </c>
      <c r="F23"/>
      <c r="G23"/>
      <c r="H23" s="18" t="s">
        <v>28</v>
      </c>
      <c r="I23" s="22">
        <v>2786041.4356766078</v>
      </c>
      <c r="J23"/>
    </row>
    <row r="24" spans="1:10" x14ac:dyDescent="0.3">
      <c r="A24" s="24">
        <v>23</v>
      </c>
      <c r="B24" s="22">
        <v>3865251</v>
      </c>
      <c r="C24" s="22">
        <v>168054.39130434784</v>
      </c>
      <c r="F24"/>
      <c r="G24"/>
      <c r="J24"/>
    </row>
    <row r="25" spans="1:10" x14ac:dyDescent="0.3">
      <c r="A25" s="22" t="s">
        <v>10</v>
      </c>
      <c r="B25" s="22">
        <v>101673535.5</v>
      </c>
      <c r="C25" s="22">
        <v>5019070.5297619049</v>
      </c>
      <c r="F25"/>
      <c r="G25"/>
      <c r="H25"/>
      <c r="I25"/>
      <c r="J25"/>
    </row>
    <row r="26" spans="1:10" x14ac:dyDescent="0.3">
      <c r="A26" s="24">
        <v>18</v>
      </c>
      <c r="B26" s="22">
        <v>16029679.5</v>
      </c>
      <c r="C26" s="22">
        <v>868773.03333333333</v>
      </c>
      <c r="F26"/>
      <c r="G26"/>
      <c r="H26"/>
      <c r="I26"/>
      <c r="J26"/>
    </row>
    <row r="27" spans="1:10" x14ac:dyDescent="0.3">
      <c r="A27" s="24">
        <v>19</v>
      </c>
      <c r="B27" s="22">
        <v>19479055.5</v>
      </c>
      <c r="C27" s="22">
        <v>947140.01428571425</v>
      </c>
      <c r="F27"/>
      <c r="G27"/>
      <c r="H27"/>
      <c r="I27"/>
      <c r="J27"/>
    </row>
    <row r="28" spans="1:10" x14ac:dyDescent="0.3">
      <c r="A28" s="24">
        <v>20</v>
      </c>
      <c r="B28" s="22">
        <v>19724733</v>
      </c>
      <c r="C28" s="22">
        <v>939273.00000000012</v>
      </c>
      <c r="F28"/>
      <c r="G28"/>
      <c r="H28"/>
      <c r="I28"/>
      <c r="J28"/>
    </row>
    <row r="29" spans="1:10" x14ac:dyDescent="0.3">
      <c r="A29" s="24">
        <v>21</v>
      </c>
      <c r="B29" s="22">
        <v>20915751</v>
      </c>
      <c r="C29" s="22">
        <v>1002951.825</v>
      </c>
      <c r="F29"/>
      <c r="G29"/>
      <c r="H29"/>
      <c r="I29"/>
      <c r="J29"/>
    </row>
    <row r="30" spans="1:10" x14ac:dyDescent="0.3">
      <c r="A30" s="24">
        <v>22</v>
      </c>
      <c r="B30" s="22">
        <v>22579281</v>
      </c>
      <c r="C30" s="22">
        <v>1120692.8714285716</v>
      </c>
      <c r="F30"/>
      <c r="G30"/>
      <c r="H30"/>
      <c r="I30"/>
      <c r="J30"/>
    </row>
    <row r="31" spans="1:10" x14ac:dyDescent="0.3">
      <c r="A31" s="24">
        <v>23</v>
      </c>
      <c r="B31" s="22">
        <v>2945035.5</v>
      </c>
      <c r="C31" s="22">
        <v>140239.78571428571</v>
      </c>
      <c r="F31"/>
      <c r="G31"/>
      <c r="H31"/>
      <c r="I31"/>
      <c r="J31"/>
    </row>
    <row r="32" spans="1:10" x14ac:dyDescent="0.3">
      <c r="A32" s="22" t="s">
        <v>20</v>
      </c>
      <c r="B32" s="22">
        <v>85862581.5</v>
      </c>
      <c r="C32" s="22">
        <v>4464328.5484335842</v>
      </c>
      <c r="F32"/>
      <c r="G32"/>
      <c r="H32"/>
      <c r="I32"/>
      <c r="J32"/>
    </row>
    <row r="33" spans="1:10" x14ac:dyDescent="0.3">
      <c r="A33" s="24">
        <v>18</v>
      </c>
      <c r="B33" s="22">
        <v>13955985</v>
      </c>
      <c r="C33" s="22">
        <v>748086.89035087719</v>
      </c>
      <c r="F33"/>
      <c r="G33"/>
      <c r="H33"/>
      <c r="I33"/>
      <c r="J33"/>
    </row>
    <row r="34" spans="1:10" x14ac:dyDescent="0.3">
      <c r="A34" s="24">
        <v>19</v>
      </c>
      <c r="B34" s="22">
        <v>16391856</v>
      </c>
      <c r="C34" s="22">
        <v>862729.26315789472</v>
      </c>
      <c r="F34"/>
      <c r="G34"/>
      <c r="H34"/>
      <c r="I34"/>
      <c r="J34"/>
    </row>
    <row r="35" spans="1:10" x14ac:dyDescent="0.3">
      <c r="A35" s="24">
        <v>20</v>
      </c>
      <c r="B35" s="22">
        <v>16732521</v>
      </c>
      <c r="C35" s="22">
        <v>880659</v>
      </c>
      <c r="F35"/>
      <c r="G35"/>
      <c r="H35"/>
      <c r="I35"/>
      <c r="J35"/>
    </row>
    <row r="36" spans="1:10" x14ac:dyDescent="0.3">
      <c r="A36" s="24">
        <v>21</v>
      </c>
      <c r="B36" s="22">
        <v>17647479</v>
      </c>
      <c r="C36" s="22">
        <v>928814.68421052617</v>
      </c>
      <c r="F36"/>
      <c r="G36"/>
      <c r="H36"/>
      <c r="I36"/>
      <c r="J36"/>
    </row>
    <row r="37" spans="1:10" x14ac:dyDescent="0.3">
      <c r="A37" s="24">
        <v>22</v>
      </c>
      <c r="B37" s="22">
        <v>18595773</v>
      </c>
      <c r="C37" s="22">
        <v>923135.49642857141</v>
      </c>
      <c r="F37"/>
      <c r="G37"/>
      <c r="H37"/>
      <c r="I37"/>
      <c r="J37"/>
    </row>
    <row r="38" spans="1:10" x14ac:dyDescent="0.3">
      <c r="A38" s="24">
        <v>23</v>
      </c>
      <c r="B38" s="22">
        <v>2538967.5</v>
      </c>
      <c r="C38" s="22">
        <v>120903.21428571429</v>
      </c>
      <c r="F38"/>
      <c r="G38"/>
      <c r="H38"/>
      <c r="I38"/>
      <c r="J38"/>
    </row>
    <row r="39" spans="1:10" x14ac:dyDescent="0.3">
      <c r="A39" s="22" t="s">
        <v>22</v>
      </c>
      <c r="B39" s="22">
        <v>738124428</v>
      </c>
      <c r="C39" s="22">
        <v>13668970.888888888</v>
      </c>
      <c r="F39"/>
      <c r="G39"/>
      <c r="H39"/>
      <c r="I39"/>
      <c r="J39"/>
    </row>
    <row r="40" spans="1:10" x14ac:dyDescent="0.3">
      <c r="A40" s="24">
        <v>18</v>
      </c>
      <c r="B40" s="22">
        <v>130713645</v>
      </c>
      <c r="C40" s="22">
        <v>2420623.0555555555</v>
      </c>
      <c r="F40"/>
      <c r="G40"/>
      <c r="H40"/>
      <c r="I40"/>
      <c r="J40"/>
    </row>
    <row r="41" spans="1:10" x14ac:dyDescent="0.3">
      <c r="A41" s="24">
        <v>19</v>
      </c>
      <c r="B41" s="22">
        <v>151642039.5</v>
      </c>
      <c r="C41" s="22">
        <v>2808185.916666667</v>
      </c>
      <c r="F41"/>
      <c r="G41"/>
      <c r="H41"/>
      <c r="I41"/>
      <c r="J41"/>
    </row>
    <row r="42" spans="1:10" x14ac:dyDescent="0.3">
      <c r="A42" s="24">
        <v>20</v>
      </c>
      <c r="B42" s="22">
        <v>135813990</v>
      </c>
      <c r="C42" s="22">
        <v>2515073.8888888885</v>
      </c>
      <c r="F42"/>
      <c r="G42"/>
      <c r="H42"/>
      <c r="I42"/>
      <c r="J42"/>
    </row>
    <row r="43" spans="1:10" x14ac:dyDescent="0.3">
      <c r="A43" s="24">
        <v>21</v>
      </c>
      <c r="B43" s="22">
        <v>149589546</v>
      </c>
      <c r="C43" s="22">
        <v>2770176.7777777775</v>
      </c>
      <c r="F43"/>
      <c r="G43"/>
      <c r="H43"/>
      <c r="I43"/>
      <c r="J43"/>
    </row>
    <row r="44" spans="1:10" x14ac:dyDescent="0.3">
      <c r="A44" s="24">
        <v>22</v>
      </c>
      <c r="B44" s="22">
        <v>151451013</v>
      </c>
      <c r="C44" s="22">
        <v>2804648.3888888885</v>
      </c>
      <c r="F44"/>
      <c r="G44"/>
      <c r="H44"/>
      <c r="I44"/>
      <c r="J44"/>
    </row>
    <row r="45" spans="1:10" x14ac:dyDescent="0.3">
      <c r="A45" s="24">
        <v>23</v>
      </c>
      <c r="B45" s="22">
        <v>18914194.5</v>
      </c>
      <c r="C45" s="22">
        <v>350262.86111111112</v>
      </c>
      <c r="F45"/>
      <c r="G45"/>
      <c r="H45"/>
      <c r="I45"/>
      <c r="J45"/>
    </row>
    <row r="46" spans="1:10" x14ac:dyDescent="0.3">
      <c r="A46" s="22" t="s">
        <v>21</v>
      </c>
      <c r="B46" s="22">
        <v>774146953.5</v>
      </c>
      <c r="C46" s="22">
        <v>13030492.68220339</v>
      </c>
      <c r="F46"/>
      <c r="G46"/>
      <c r="H46"/>
      <c r="I46"/>
      <c r="J46"/>
    </row>
    <row r="47" spans="1:10" x14ac:dyDescent="0.3">
      <c r="A47" s="24">
        <v>18</v>
      </c>
      <c r="B47" s="22">
        <v>136791225</v>
      </c>
      <c r="C47" s="22">
        <v>2318495.338983051</v>
      </c>
      <c r="F47"/>
      <c r="G47"/>
      <c r="H47"/>
      <c r="I47"/>
      <c r="J47"/>
    </row>
    <row r="48" spans="1:10" x14ac:dyDescent="0.3">
      <c r="A48" s="24">
        <v>19</v>
      </c>
      <c r="B48" s="22">
        <v>159695760</v>
      </c>
      <c r="C48" s="22">
        <v>2706707.7966101696</v>
      </c>
      <c r="F48"/>
      <c r="G48"/>
      <c r="H48"/>
      <c r="I48"/>
      <c r="J48"/>
    </row>
    <row r="49" spans="1:10" x14ac:dyDescent="0.3">
      <c r="A49" s="24">
        <v>20</v>
      </c>
      <c r="B49" s="22">
        <v>142825023</v>
      </c>
      <c r="C49" s="22">
        <v>2380417.0499999998</v>
      </c>
      <c r="F49"/>
      <c r="G49"/>
      <c r="H49"/>
      <c r="I49"/>
      <c r="J49"/>
    </row>
    <row r="50" spans="1:10" x14ac:dyDescent="0.3">
      <c r="A50" s="24">
        <v>21</v>
      </c>
      <c r="B50" s="22">
        <v>157512358.5</v>
      </c>
      <c r="C50" s="22">
        <v>2625205.9749999996</v>
      </c>
      <c r="F50"/>
      <c r="G50"/>
      <c r="H50"/>
      <c r="I50"/>
      <c r="J50"/>
    </row>
    <row r="51" spans="1:10" x14ac:dyDescent="0.3">
      <c r="A51" s="24">
        <v>22</v>
      </c>
      <c r="B51" s="22">
        <v>157857214.5</v>
      </c>
      <c r="C51" s="22">
        <v>2669744.9538135594</v>
      </c>
      <c r="F51"/>
      <c r="G51"/>
      <c r="H51"/>
      <c r="I51"/>
      <c r="J51"/>
    </row>
    <row r="52" spans="1:10" x14ac:dyDescent="0.3">
      <c r="A52" s="24">
        <v>23</v>
      </c>
      <c r="B52" s="22">
        <v>19465372.5</v>
      </c>
      <c r="C52" s="22">
        <v>329921.56779661018</v>
      </c>
      <c r="F52"/>
      <c r="G52"/>
      <c r="H52"/>
      <c r="I52"/>
      <c r="J52"/>
    </row>
    <row r="53" spans="1:10" x14ac:dyDescent="0.3">
      <c r="A53" s="22" t="s">
        <v>13</v>
      </c>
      <c r="B53" s="22">
        <v>95592298.5</v>
      </c>
      <c r="C53" s="22">
        <v>4961061.7369711045</v>
      </c>
      <c r="F53"/>
      <c r="G53"/>
      <c r="H53"/>
      <c r="I53"/>
      <c r="J53"/>
    </row>
    <row r="54" spans="1:10" x14ac:dyDescent="0.3">
      <c r="A54" s="24">
        <v>18</v>
      </c>
      <c r="B54" s="22">
        <v>13145965.5</v>
      </c>
      <c r="C54" s="22">
        <v>712134.48039215687</v>
      </c>
      <c r="F54"/>
      <c r="G54"/>
      <c r="H54"/>
      <c r="I54"/>
      <c r="J54"/>
    </row>
    <row r="55" spans="1:10" x14ac:dyDescent="0.3">
      <c r="A55" s="24">
        <v>19</v>
      </c>
      <c r="B55" s="22">
        <v>17149980</v>
      </c>
      <c r="C55" s="22">
        <v>902630.52631578944</v>
      </c>
      <c r="F55"/>
      <c r="G55"/>
      <c r="H55"/>
      <c r="I55"/>
      <c r="J55"/>
    </row>
    <row r="56" spans="1:10" x14ac:dyDescent="0.3">
      <c r="A56" s="24">
        <v>20</v>
      </c>
      <c r="B56" s="22">
        <v>19963153.5</v>
      </c>
      <c r="C56" s="22">
        <v>1050692.2894736843</v>
      </c>
      <c r="F56"/>
      <c r="G56"/>
      <c r="H56"/>
      <c r="I56"/>
      <c r="J56"/>
    </row>
    <row r="57" spans="1:10" x14ac:dyDescent="0.3">
      <c r="A57" s="24">
        <v>21</v>
      </c>
      <c r="B57" s="22">
        <v>20713983</v>
      </c>
      <c r="C57" s="22">
        <v>1064643.6157894738</v>
      </c>
      <c r="F57"/>
      <c r="G57"/>
      <c r="H57"/>
      <c r="I57"/>
      <c r="J57"/>
    </row>
    <row r="58" spans="1:10" x14ac:dyDescent="0.3">
      <c r="A58" s="24">
        <v>22</v>
      </c>
      <c r="B58" s="22">
        <v>21605704.5</v>
      </c>
      <c r="C58" s="22">
        <v>1080285.2250000001</v>
      </c>
      <c r="F58"/>
      <c r="G58"/>
      <c r="H58"/>
      <c r="I58"/>
      <c r="J58"/>
    </row>
    <row r="59" spans="1:10" x14ac:dyDescent="0.3">
      <c r="A59" s="24">
        <v>23</v>
      </c>
      <c r="B59" s="22">
        <v>3013512</v>
      </c>
      <c r="C59" s="22">
        <v>150675.6</v>
      </c>
      <c r="F59"/>
      <c r="G59"/>
      <c r="H59"/>
      <c r="I59"/>
      <c r="J59"/>
    </row>
    <row r="60" spans="1:10" x14ac:dyDescent="0.3">
      <c r="A60" s="22" t="s">
        <v>23</v>
      </c>
      <c r="B60" s="22">
        <v>41034630</v>
      </c>
      <c r="C60" s="22">
        <v>2507913.4982843138</v>
      </c>
      <c r="F60"/>
      <c r="G60"/>
      <c r="H60"/>
      <c r="I60"/>
      <c r="J60"/>
    </row>
    <row r="61" spans="1:10" x14ac:dyDescent="0.3">
      <c r="A61" s="24">
        <v>18</v>
      </c>
      <c r="B61" s="22">
        <v>5746024.5</v>
      </c>
      <c r="C61" s="22">
        <v>383068.30000000005</v>
      </c>
      <c r="F61"/>
      <c r="G61"/>
      <c r="H61"/>
      <c r="I61"/>
      <c r="J61"/>
    </row>
    <row r="62" spans="1:10" x14ac:dyDescent="0.3">
      <c r="A62" s="24">
        <v>19</v>
      </c>
      <c r="B62" s="22">
        <v>7253572.5</v>
      </c>
      <c r="C62" s="22">
        <v>483571.5</v>
      </c>
      <c r="F62"/>
      <c r="G62"/>
      <c r="H62"/>
      <c r="I62"/>
      <c r="J62"/>
    </row>
    <row r="63" spans="1:10" x14ac:dyDescent="0.3">
      <c r="A63" s="24">
        <v>20</v>
      </c>
      <c r="B63" s="22">
        <v>7841920.5</v>
      </c>
      <c r="C63" s="22">
        <v>503225.55000000005</v>
      </c>
      <c r="F63"/>
      <c r="G63"/>
      <c r="H63"/>
      <c r="I63"/>
      <c r="J63"/>
    </row>
    <row r="64" spans="1:10" x14ac:dyDescent="0.3">
      <c r="A64" s="24">
        <v>21</v>
      </c>
      <c r="B64" s="22">
        <v>8990269.5</v>
      </c>
      <c r="C64" s="22">
        <v>515667.98161764705</v>
      </c>
      <c r="F64"/>
      <c r="G64"/>
      <c r="H64"/>
      <c r="I64"/>
      <c r="J64"/>
    </row>
    <row r="65" spans="1:10" x14ac:dyDescent="0.3">
      <c r="A65" s="24">
        <v>22</v>
      </c>
      <c r="B65" s="22">
        <v>9909624</v>
      </c>
      <c r="C65" s="22">
        <v>550534.66666666663</v>
      </c>
      <c r="F65"/>
      <c r="G65"/>
      <c r="H65"/>
      <c r="I65"/>
      <c r="J65"/>
    </row>
    <row r="66" spans="1:10" x14ac:dyDescent="0.3">
      <c r="A66" s="24">
        <v>23</v>
      </c>
      <c r="B66" s="22">
        <v>1293219</v>
      </c>
      <c r="C66" s="22">
        <v>71845.5</v>
      </c>
      <c r="F66"/>
      <c r="G66"/>
      <c r="H66"/>
      <c r="I66"/>
      <c r="J66"/>
    </row>
    <row r="67" spans="1:10" x14ac:dyDescent="0.3">
      <c r="A67" s="22" t="s">
        <v>18</v>
      </c>
      <c r="B67" s="22">
        <v>48803040</v>
      </c>
      <c r="C67" s="22">
        <v>3079945.6941176471</v>
      </c>
      <c r="F67"/>
      <c r="G67"/>
      <c r="H67"/>
      <c r="I67"/>
      <c r="J67"/>
    </row>
    <row r="68" spans="1:10" x14ac:dyDescent="0.3">
      <c r="A68" s="24">
        <v>18</v>
      </c>
      <c r="B68" s="22">
        <v>6961020</v>
      </c>
      <c r="C68" s="22">
        <v>464068</v>
      </c>
      <c r="F68"/>
      <c r="G68"/>
      <c r="H68"/>
      <c r="I68"/>
      <c r="J68"/>
    </row>
    <row r="69" spans="1:10" x14ac:dyDescent="0.3">
      <c r="A69" s="24">
        <v>19</v>
      </c>
      <c r="B69" s="22">
        <v>8778597</v>
      </c>
      <c r="C69" s="22">
        <v>585239.80000000005</v>
      </c>
      <c r="F69"/>
      <c r="G69"/>
      <c r="H69"/>
      <c r="I69"/>
      <c r="J69"/>
    </row>
    <row r="70" spans="1:10" x14ac:dyDescent="0.3">
      <c r="A70" s="24">
        <v>20</v>
      </c>
      <c r="B70" s="22">
        <v>9036316.5</v>
      </c>
      <c r="C70" s="22">
        <v>602421.1</v>
      </c>
      <c r="F70"/>
      <c r="G70"/>
      <c r="H70"/>
      <c r="I70"/>
      <c r="J70"/>
    </row>
    <row r="71" spans="1:10" x14ac:dyDescent="0.3">
      <c r="A71" s="24">
        <v>21</v>
      </c>
      <c r="B71" s="22">
        <v>10598445</v>
      </c>
      <c r="C71" s="22">
        <v>638295.52941176482</v>
      </c>
      <c r="F71"/>
      <c r="G71"/>
      <c r="H71"/>
      <c r="I71"/>
      <c r="J71"/>
    </row>
    <row r="72" spans="1:10" x14ac:dyDescent="0.3">
      <c r="A72" s="24">
        <v>22</v>
      </c>
      <c r="B72" s="22">
        <v>11902053</v>
      </c>
      <c r="C72" s="22">
        <v>700120.76470588229</v>
      </c>
      <c r="F72"/>
      <c r="G72"/>
      <c r="H72"/>
      <c r="I72"/>
      <c r="J72"/>
    </row>
    <row r="73" spans="1:10" x14ac:dyDescent="0.3">
      <c r="A73" s="24">
        <v>23</v>
      </c>
      <c r="B73" s="22">
        <v>1526608.5</v>
      </c>
      <c r="C73" s="22">
        <v>89800.5</v>
      </c>
      <c r="F73"/>
      <c r="G73"/>
      <c r="H73"/>
      <c r="I73"/>
      <c r="J73"/>
    </row>
    <row r="74" spans="1:10" x14ac:dyDescent="0.3">
      <c r="A74" s="22" t="s">
        <v>19</v>
      </c>
      <c r="B74" s="22">
        <v>34816548</v>
      </c>
      <c r="C74" s="22">
        <v>2290685.3687499999</v>
      </c>
      <c r="F74"/>
      <c r="G74"/>
      <c r="H74"/>
      <c r="I74"/>
      <c r="J74"/>
    </row>
    <row r="75" spans="1:10" x14ac:dyDescent="0.3">
      <c r="A75" s="24">
        <v>18</v>
      </c>
      <c r="B75" s="22">
        <v>2008809</v>
      </c>
      <c r="C75" s="22">
        <v>133920.6</v>
      </c>
      <c r="F75"/>
      <c r="G75"/>
      <c r="H75"/>
      <c r="I75"/>
      <c r="J75"/>
    </row>
    <row r="76" spans="1:10" x14ac:dyDescent="0.3">
      <c r="A76" s="24">
        <v>19</v>
      </c>
      <c r="B76" s="22">
        <v>5892277.5</v>
      </c>
      <c r="C76" s="22">
        <v>392818.49999999994</v>
      </c>
      <c r="F76"/>
      <c r="G76"/>
      <c r="H76"/>
      <c r="I76"/>
      <c r="J76"/>
    </row>
    <row r="77" spans="1:10" x14ac:dyDescent="0.3">
      <c r="A77" s="24">
        <v>20</v>
      </c>
      <c r="B77" s="22">
        <v>7382458.5</v>
      </c>
      <c r="C77" s="22">
        <v>492163.9</v>
      </c>
      <c r="F77"/>
      <c r="G77"/>
      <c r="H77"/>
      <c r="I77"/>
      <c r="J77"/>
    </row>
    <row r="78" spans="1:10" x14ac:dyDescent="0.3">
      <c r="A78" s="24">
        <v>21</v>
      </c>
      <c r="B78" s="22">
        <v>8638525.5</v>
      </c>
      <c r="C78" s="22">
        <v>575901.69999999995</v>
      </c>
      <c r="F78"/>
      <c r="G78"/>
      <c r="H78"/>
      <c r="I78"/>
      <c r="J78"/>
    </row>
    <row r="79" spans="1:10" x14ac:dyDescent="0.3">
      <c r="A79" s="24">
        <v>22</v>
      </c>
      <c r="B79" s="22">
        <v>9328845</v>
      </c>
      <c r="C79" s="22">
        <v>598028.63749999995</v>
      </c>
      <c r="F79"/>
      <c r="G79"/>
      <c r="H79"/>
      <c r="I79"/>
      <c r="J79"/>
    </row>
    <row r="80" spans="1:10" x14ac:dyDescent="0.3">
      <c r="A80" s="24">
        <v>23</v>
      </c>
      <c r="B80" s="22">
        <v>1565632.5</v>
      </c>
      <c r="C80" s="22">
        <v>97852.03125</v>
      </c>
      <c r="F80"/>
      <c r="G80"/>
      <c r="H80"/>
      <c r="I80"/>
      <c r="J80"/>
    </row>
    <row r="81" spans="1:10" x14ac:dyDescent="0.3">
      <c r="A81" s="22" t="s">
        <v>9</v>
      </c>
      <c r="B81" s="22">
        <v>3342598.5</v>
      </c>
      <c r="C81" s="22">
        <v>222839.90000000002</v>
      </c>
      <c r="F81"/>
      <c r="G81"/>
      <c r="H81"/>
      <c r="I81"/>
      <c r="J81"/>
    </row>
    <row r="82" spans="1:10" x14ac:dyDescent="0.3">
      <c r="A82" s="24">
        <v>22</v>
      </c>
      <c r="B82" s="22">
        <v>2706253.5</v>
      </c>
      <c r="C82" s="22">
        <v>180416.90000000002</v>
      </c>
      <c r="F82"/>
      <c r="G82"/>
      <c r="H82"/>
      <c r="I82"/>
      <c r="J82"/>
    </row>
    <row r="83" spans="1:10" x14ac:dyDescent="0.3">
      <c r="A83" s="24">
        <v>23</v>
      </c>
      <c r="B83" s="22">
        <v>636345</v>
      </c>
      <c r="C83" s="22">
        <v>42423</v>
      </c>
      <c r="F83"/>
      <c r="G83"/>
      <c r="H83"/>
      <c r="I83"/>
      <c r="J83"/>
    </row>
    <row r="84" spans="1:10" ht="28.8" x14ac:dyDescent="0.3">
      <c r="A84" s="22" t="s">
        <v>15</v>
      </c>
      <c r="B84" s="22">
        <v>1380723900.7513499</v>
      </c>
      <c r="C84" s="22">
        <v>11069486.467198042</v>
      </c>
      <c r="F84"/>
      <c r="G84"/>
      <c r="H84"/>
      <c r="I84"/>
      <c r="J84"/>
    </row>
    <row r="85" spans="1:10" x14ac:dyDescent="0.3">
      <c r="A85" s="24">
        <v>18</v>
      </c>
      <c r="B85" s="22">
        <v>233059077</v>
      </c>
      <c r="C85" s="22">
        <v>1864472.6159999999</v>
      </c>
      <c r="F85"/>
      <c r="G85"/>
      <c r="H85"/>
      <c r="I85"/>
      <c r="J85"/>
    </row>
    <row r="86" spans="1:10" x14ac:dyDescent="0.3">
      <c r="A86" s="24">
        <v>19</v>
      </c>
      <c r="B86" s="22">
        <v>272762503.5</v>
      </c>
      <c r="C86" s="22">
        <v>2182100.0279999999</v>
      </c>
      <c r="F86"/>
      <c r="G86"/>
      <c r="H86"/>
      <c r="I86"/>
      <c r="J86"/>
    </row>
    <row r="87" spans="1:10" x14ac:dyDescent="0.3">
      <c r="A87" s="24">
        <v>20</v>
      </c>
      <c r="B87" s="22">
        <v>269949999</v>
      </c>
      <c r="C87" s="22">
        <v>2159599.9919999996</v>
      </c>
      <c r="F87"/>
      <c r="G87"/>
      <c r="H87"/>
      <c r="I87"/>
      <c r="J87"/>
    </row>
    <row r="88" spans="1:10" x14ac:dyDescent="0.3">
      <c r="A88" s="24">
        <v>21</v>
      </c>
      <c r="B88" s="22">
        <v>275539431.56999999</v>
      </c>
      <c r="C88" s="22">
        <v>2204315.4525600001</v>
      </c>
      <c r="F88"/>
      <c r="G88"/>
      <c r="H88"/>
      <c r="I88"/>
      <c r="J88"/>
    </row>
    <row r="89" spans="1:10" x14ac:dyDescent="0.3">
      <c r="A89" s="24">
        <v>22</v>
      </c>
      <c r="B89" s="22">
        <v>292155049.5</v>
      </c>
      <c r="C89" s="22">
        <v>2356089.1088709678</v>
      </c>
      <c r="F89"/>
      <c r="G89"/>
      <c r="H89"/>
      <c r="I89"/>
      <c r="J89"/>
    </row>
    <row r="90" spans="1:10" x14ac:dyDescent="0.3">
      <c r="A90" s="24">
        <v>23</v>
      </c>
      <c r="B90" s="22">
        <v>37257840.18135</v>
      </c>
      <c r="C90" s="22">
        <v>302909.26976707316</v>
      </c>
      <c r="F90"/>
      <c r="G90"/>
      <c r="H90"/>
      <c r="I90"/>
      <c r="J90"/>
    </row>
    <row r="91" spans="1:10" ht="28.8" x14ac:dyDescent="0.3">
      <c r="A91" s="22" t="s">
        <v>14</v>
      </c>
      <c r="B91" s="22">
        <v>1035612381.8110499</v>
      </c>
      <c r="C91" s="22">
        <v>8033320.2085946221</v>
      </c>
      <c r="F91"/>
      <c r="G91"/>
      <c r="H91"/>
      <c r="I91"/>
      <c r="J91"/>
    </row>
    <row r="92" spans="1:10" x14ac:dyDescent="0.3">
      <c r="A92" s="24">
        <v>18</v>
      </c>
      <c r="B92" s="22">
        <v>176269533</v>
      </c>
      <c r="C92" s="22">
        <v>1370065.9244186047</v>
      </c>
      <c r="F92"/>
      <c r="G92"/>
      <c r="H92"/>
      <c r="I92"/>
      <c r="J92"/>
    </row>
    <row r="93" spans="1:10" x14ac:dyDescent="0.3">
      <c r="A93" s="24">
        <v>19</v>
      </c>
      <c r="B93" s="22">
        <v>208128393.85664999</v>
      </c>
      <c r="C93" s="22">
        <v>1613398.4019895347</v>
      </c>
      <c r="F93"/>
      <c r="G93"/>
      <c r="H93"/>
      <c r="I93"/>
      <c r="J93"/>
    </row>
    <row r="94" spans="1:10" x14ac:dyDescent="0.3">
      <c r="A94" s="24">
        <v>20</v>
      </c>
      <c r="B94" s="22">
        <v>199569624.22395</v>
      </c>
      <c r="C94" s="22">
        <v>1547051.3505732557</v>
      </c>
      <c r="F94"/>
      <c r="G94"/>
      <c r="H94"/>
      <c r="I94"/>
      <c r="J94"/>
    </row>
    <row r="95" spans="1:10" x14ac:dyDescent="0.3">
      <c r="A95" s="24">
        <v>21</v>
      </c>
      <c r="B95" s="22">
        <v>204608809.47659999</v>
      </c>
      <c r="C95" s="22">
        <v>1586114.8021441861</v>
      </c>
      <c r="F95"/>
      <c r="G95"/>
      <c r="H95"/>
      <c r="I95"/>
      <c r="J95"/>
    </row>
    <row r="96" spans="1:10" x14ac:dyDescent="0.3">
      <c r="A96" s="24">
        <v>22</v>
      </c>
      <c r="B96" s="22">
        <v>219265928.75384998</v>
      </c>
      <c r="C96" s="22">
        <v>1699735.8818127906</v>
      </c>
      <c r="F96"/>
      <c r="G96"/>
      <c r="H96"/>
      <c r="I96"/>
      <c r="J96"/>
    </row>
    <row r="97" spans="1:10" x14ac:dyDescent="0.3">
      <c r="A97" s="24">
        <v>23</v>
      </c>
      <c r="B97" s="22">
        <v>27770092.5</v>
      </c>
      <c r="C97" s="22">
        <v>216953.84765625</v>
      </c>
      <c r="F97"/>
      <c r="G97"/>
      <c r="H97"/>
      <c r="I97"/>
      <c r="J97"/>
    </row>
    <row r="98" spans="1:10" x14ac:dyDescent="0.3">
      <c r="A98" s="22" t="s">
        <v>12</v>
      </c>
      <c r="B98" s="22">
        <v>33207564</v>
      </c>
      <c r="C98" s="22">
        <v>3320756.4000000004</v>
      </c>
      <c r="F98"/>
      <c r="G98"/>
      <c r="H98"/>
      <c r="I98"/>
      <c r="J98"/>
    </row>
    <row r="99" spans="1:10" x14ac:dyDescent="0.3">
      <c r="A99" s="24">
        <v>18</v>
      </c>
      <c r="B99" s="22">
        <v>4531000.5</v>
      </c>
      <c r="C99" s="22">
        <v>453100.04999999993</v>
      </c>
      <c r="F99"/>
      <c r="G99"/>
      <c r="H99"/>
      <c r="I99"/>
      <c r="J99"/>
    </row>
    <row r="100" spans="1:10" x14ac:dyDescent="0.3">
      <c r="A100" s="24">
        <v>19</v>
      </c>
      <c r="B100" s="22">
        <v>6093688.5</v>
      </c>
      <c r="C100" s="22">
        <v>609368.85</v>
      </c>
      <c r="F100"/>
      <c r="G100"/>
      <c r="H100"/>
      <c r="I100"/>
      <c r="J100"/>
    </row>
    <row r="101" spans="1:10" x14ac:dyDescent="0.3">
      <c r="A101" s="24">
        <v>20</v>
      </c>
      <c r="B101" s="22">
        <v>6439392</v>
      </c>
      <c r="C101" s="22">
        <v>643939.19999999995</v>
      </c>
      <c r="F101"/>
      <c r="G101"/>
      <c r="H101"/>
      <c r="I101"/>
      <c r="J101"/>
    </row>
    <row r="102" spans="1:10" x14ac:dyDescent="0.3">
      <c r="A102" s="24">
        <v>21</v>
      </c>
      <c r="B102" s="22">
        <v>7373379</v>
      </c>
      <c r="C102" s="22">
        <v>737337.90000000014</v>
      </c>
      <c r="F102"/>
      <c r="G102"/>
      <c r="H102"/>
      <c r="I102"/>
      <c r="J102"/>
    </row>
    <row r="103" spans="1:10" x14ac:dyDescent="0.3">
      <c r="A103" s="24">
        <v>22</v>
      </c>
      <c r="B103" s="22">
        <v>7762362</v>
      </c>
      <c r="C103" s="22">
        <v>776236.2</v>
      </c>
      <c r="F103"/>
      <c r="G103"/>
      <c r="H103"/>
      <c r="I103"/>
      <c r="J103"/>
    </row>
    <row r="104" spans="1:10" x14ac:dyDescent="0.3">
      <c r="A104" s="24">
        <v>23</v>
      </c>
      <c r="B104" s="22">
        <v>1007742</v>
      </c>
      <c r="C104" s="22">
        <v>100774.2</v>
      </c>
      <c r="F104"/>
      <c r="G104"/>
      <c r="H104"/>
      <c r="I104"/>
      <c r="J104"/>
    </row>
    <row r="105" spans="1:10" x14ac:dyDescent="0.3">
      <c r="A105" s="22" t="s">
        <v>25</v>
      </c>
      <c r="B105" s="22">
        <v>882906</v>
      </c>
      <c r="C105" s="22">
        <v>98100.666666666657</v>
      </c>
      <c r="F105"/>
      <c r="G105"/>
      <c r="H105"/>
      <c r="I105"/>
      <c r="J105"/>
    </row>
    <row r="106" spans="1:10" x14ac:dyDescent="0.3">
      <c r="A106" s="24">
        <v>22</v>
      </c>
      <c r="B106" s="22">
        <v>493893</v>
      </c>
      <c r="C106" s="22">
        <v>54877</v>
      </c>
      <c r="F106"/>
      <c r="G106"/>
      <c r="H106"/>
      <c r="I106"/>
      <c r="J106"/>
    </row>
    <row r="107" spans="1:10" x14ac:dyDescent="0.3">
      <c r="A107" s="24">
        <v>23</v>
      </c>
      <c r="B107" s="22">
        <v>389013</v>
      </c>
      <c r="C107" s="22">
        <v>43223.666666666664</v>
      </c>
      <c r="F107"/>
      <c r="G107"/>
      <c r="H107"/>
      <c r="I107"/>
      <c r="J107"/>
    </row>
    <row r="108" spans="1:10" x14ac:dyDescent="0.3">
      <c r="A108" s="22" t="s">
        <v>24</v>
      </c>
      <c r="B108" s="22">
        <v>5664156</v>
      </c>
      <c r="C108" s="22">
        <v>809165.14285714284</v>
      </c>
      <c r="F108"/>
      <c r="G108"/>
      <c r="H108"/>
      <c r="I108"/>
      <c r="J108"/>
    </row>
    <row r="109" spans="1:10" x14ac:dyDescent="0.3">
      <c r="A109" s="24">
        <v>22</v>
      </c>
      <c r="B109" s="22">
        <v>4861708.5</v>
      </c>
      <c r="C109" s="22">
        <v>694529.78571428568</v>
      </c>
      <c r="F109"/>
      <c r="G109"/>
      <c r="H109"/>
      <c r="I109"/>
      <c r="J109"/>
    </row>
    <row r="110" spans="1:10" x14ac:dyDescent="0.3">
      <c r="A110" s="24">
        <v>23</v>
      </c>
      <c r="B110" s="22">
        <v>802447.5</v>
      </c>
      <c r="C110" s="22">
        <v>114635.35714285714</v>
      </c>
      <c r="F110"/>
      <c r="G110"/>
      <c r="H110"/>
      <c r="I110"/>
      <c r="J110"/>
    </row>
    <row r="111" spans="1:10" x14ac:dyDescent="0.3">
      <c r="A111" s="22" t="s">
        <v>26</v>
      </c>
      <c r="B111" s="22">
        <v>879727.5</v>
      </c>
      <c r="C111" s="22">
        <v>146621.25</v>
      </c>
      <c r="F111"/>
      <c r="G111"/>
      <c r="H111"/>
      <c r="I111"/>
      <c r="J111"/>
    </row>
    <row r="112" spans="1:10" x14ac:dyDescent="0.3">
      <c r="A112" s="24">
        <v>22</v>
      </c>
      <c r="B112" s="22">
        <v>468835.5</v>
      </c>
      <c r="C112" s="22">
        <v>78139.25</v>
      </c>
      <c r="F112"/>
      <c r="G112"/>
      <c r="H112"/>
      <c r="I112"/>
      <c r="J112"/>
    </row>
    <row r="113" spans="1:10" x14ac:dyDescent="0.3">
      <c r="A113" s="24">
        <v>23</v>
      </c>
      <c r="B113" s="22">
        <v>410892</v>
      </c>
      <c r="C113" s="22">
        <v>68482</v>
      </c>
      <c r="F113"/>
      <c r="G113"/>
      <c r="H113"/>
      <c r="I113"/>
      <c r="J113"/>
    </row>
    <row r="114" spans="1:10" x14ac:dyDescent="0.3">
      <c r="A114" s="22" t="s">
        <v>28</v>
      </c>
      <c r="B114" s="22">
        <v>4962359217.0623999</v>
      </c>
      <c r="C114" s="22">
        <v>92363110.331727654</v>
      </c>
      <c r="F114"/>
      <c r="G114"/>
      <c r="H114"/>
      <c r="I114"/>
      <c r="J114"/>
    </row>
  </sheetData>
  <mergeCells count="2">
    <mergeCell ref="A1:C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0BB22-A578-442A-97C3-BFBA1A9180FA}">
  <dimension ref="A3:C10"/>
  <sheetViews>
    <sheetView workbookViewId="0">
      <selection activeCell="B14" sqref="B14"/>
    </sheetView>
  </sheetViews>
  <sheetFormatPr defaultRowHeight="14.4" x14ac:dyDescent="0.3"/>
  <cols>
    <col min="1" max="1" width="17" bestFit="1" customWidth="1"/>
    <col min="2" max="3" width="22.21875" style="20" customWidth="1"/>
  </cols>
  <sheetData>
    <row r="3" spans="1:3" ht="28.8" x14ac:dyDescent="0.3">
      <c r="A3" s="15" t="s">
        <v>27</v>
      </c>
      <c r="B3" s="20" t="s">
        <v>30</v>
      </c>
      <c r="C3" s="20" t="s">
        <v>29</v>
      </c>
    </row>
    <row r="4" spans="1:3" x14ac:dyDescent="0.3">
      <c r="A4" s="16">
        <v>18</v>
      </c>
      <c r="B4" s="19">
        <v>836803032</v>
      </c>
      <c r="C4" s="19">
        <v>15050189.484421248</v>
      </c>
    </row>
    <row r="5" spans="1:3" x14ac:dyDescent="0.3">
      <c r="A5" s="16">
        <v>19</v>
      </c>
      <c r="B5" s="19">
        <v>983915409.85664999</v>
      </c>
      <c r="C5" s="19">
        <v>17810866.503784601</v>
      </c>
    </row>
    <row r="6" spans="1:3" x14ac:dyDescent="0.3">
      <c r="A6" s="16">
        <v>20</v>
      </c>
      <c r="B6" s="19">
        <v>947263006.72395003</v>
      </c>
      <c r="C6" s="19">
        <v>17504431.254499577</v>
      </c>
    </row>
    <row r="7" spans="1:3" x14ac:dyDescent="0.3">
      <c r="A7" s="16">
        <v>21</v>
      </c>
      <c r="B7" s="19">
        <v>1002691883.0466</v>
      </c>
      <c r="C7" s="19">
        <v>18752594.736982953</v>
      </c>
    </row>
    <row r="8" spans="1:3" x14ac:dyDescent="0.3">
      <c r="A8" s="16">
        <v>22</v>
      </c>
      <c r="B8" s="19">
        <v>1055653508.75385</v>
      </c>
      <c r="C8" s="19">
        <v>20458986.916362662</v>
      </c>
    </row>
    <row r="9" spans="1:3" x14ac:dyDescent="0.3">
      <c r="A9" s="16">
        <v>23</v>
      </c>
      <c r="B9" s="19">
        <v>136032376.68134999</v>
      </c>
      <c r="C9" s="19">
        <v>2786041.4356766073</v>
      </c>
    </row>
    <row r="10" spans="1:3" x14ac:dyDescent="0.3">
      <c r="A10" s="16" t="s">
        <v>28</v>
      </c>
      <c r="B10" s="32">
        <v>4962359217.0623999</v>
      </c>
      <c r="C10" s="19">
        <v>92363110.331727639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sqref="A1:I505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6" style="14" customWidth="1"/>
    <col min="9" max="9" width="11.21875" customWidth="1"/>
    <col min="10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43982</v>
      </c>
      <c r="B2" s="6" t="s">
        <v>9</v>
      </c>
      <c r="C2" s="6">
        <v>7944</v>
      </c>
      <c r="D2" s="6">
        <v>623971.5</v>
      </c>
      <c r="E2" s="7">
        <f>SUMIFS(Лист2!$C:$C,Лист2!$B:$B,Лист1!$B2,Лист2!$A:$A,Лист1!$A2)</f>
        <v>15</v>
      </c>
      <c r="F2" s="7">
        <f>SUMIFS(Лист2!$D:$D,Лист2!$B:$B,Лист1!$B2,Лист2!$A:$A,Лист1!$A2)</f>
        <v>441</v>
      </c>
      <c r="G2" s="7">
        <f>SUMIFS(Лист2!$E:$E,Лист2!$B:$B,Лист1!$B2,Лист2!$A:$A,Лист1!$A2)</f>
        <v>368</v>
      </c>
      <c r="H2" s="14">
        <f>D2/E2</f>
        <v>41598.1</v>
      </c>
      <c r="I2">
        <f>WEEKNUM(A2,2)</f>
        <v>22</v>
      </c>
    </row>
    <row r="3" spans="1:24" ht="14.25" customHeight="1" x14ac:dyDescent="0.3">
      <c r="A3" s="8">
        <v>43981</v>
      </c>
      <c r="B3" s="9" t="s">
        <v>9</v>
      </c>
      <c r="C3" s="9">
        <v>10029</v>
      </c>
      <c r="D3" s="9">
        <v>787101</v>
      </c>
      <c r="E3" s="7">
        <f>SUMIFS(Лист2!C:C,Лист2!B:B,Лист1!B3,Лист2!A:A,Лист1!A3)</f>
        <v>15</v>
      </c>
      <c r="F3" s="7">
        <f>SUMIFS(Лист2!$D:$D,Лист2!$B:$B,Лист1!$B3,Лист2!$A:$A,Лист1!$A3)</f>
        <v>490</v>
      </c>
      <c r="G3" s="7">
        <f>SUMIFS(Лист2!$E:$E,Лист2!$B:$B,Лист1!$B3,Лист2!$A:$A,Лист1!$A3)</f>
        <v>409</v>
      </c>
      <c r="H3" s="14">
        <f t="shared" ref="H3:H66" si="0">D3/E3</f>
        <v>52473.4</v>
      </c>
      <c r="I3">
        <f t="shared" ref="I3:I66" si="1">WEEKNUM(A3,2)</f>
        <v>22</v>
      </c>
    </row>
    <row r="4" spans="1:24" ht="14.25" customHeight="1" x14ac:dyDescent="0.3">
      <c r="A4" s="5">
        <v>43979</v>
      </c>
      <c r="B4" s="6" t="s">
        <v>9</v>
      </c>
      <c r="C4" s="6">
        <v>8536.5</v>
      </c>
      <c r="D4" s="6">
        <v>643944</v>
      </c>
      <c r="E4" s="7">
        <f>SUMIFS(Лист2!C:C,Лист2!B:B,Лист1!B4,Лист2!A:A,Лист1!A4)</f>
        <v>15</v>
      </c>
      <c r="F4" s="7">
        <f>SUMIFS(Лист2!$D:$D,Лист2!$B:$B,Лист1!$B4,Лист2!$A:$A,Лист1!$A4)</f>
        <v>464</v>
      </c>
      <c r="G4" s="7">
        <f>SUMIFS(Лист2!$E:$E,Лист2!$B:$B,Лист1!$B4,Лист2!$A:$A,Лист1!$A4)</f>
        <v>390</v>
      </c>
      <c r="H4" s="14">
        <f t="shared" si="0"/>
        <v>42929.599999999999</v>
      </c>
      <c r="I4">
        <f t="shared" si="1"/>
        <v>22</v>
      </c>
    </row>
    <row r="5" spans="1:24" ht="14.25" customHeight="1" x14ac:dyDescent="0.3">
      <c r="A5" s="8">
        <v>43967</v>
      </c>
      <c r="B5" s="9" t="s">
        <v>10</v>
      </c>
      <c r="C5" s="9">
        <v>38947.5</v>
      </c>
      <c r="D5" s="9">
        <v>3395892</v>
      </c>
      <c r="E5" s="7">
        <f>SUMIFS(Лист2!C:C,Лист2!B:B,Лист1!B5,Лист2!A:A,Лист1!A5)</f>
        <v>21</v>
      </c>
      <c r="F5" s="7">
        <f>SUMIFS(Лист2!$D:$D,Лист2!$B:$B,Лист1!$B5,Лист2!$A:$A,Лист1!$A5)</f>
        <v>2145</v>
      </c>
      <c r="G5" s="7">
        <f>SUMIFS(Лист2!$E:$E,Лист2!$B:$B,Лист1!$B5,Лист2!$A:$A,Лист1!$A5)</f>
        <v>1947</v>
      </c>
      <c r="H5" s="14">
        <f t="shared" si="0"/>
        <v>161709.14285714287</v>
      </c>
      <c r="I5">
        <f t="shared" si="1"/>
        <v>20</v>
      </c>
    </row>
    <row r="6" spans="1:24" ht="14.25" customHeight="1" x14ac:dyDescent="0.3">
      <c r="A6" s="5">
        <v>43970</v>
      </c>
      <c r="B6" s="6" t="s">
        <v>10</v>
      </c>
      <c r="C6" s="6">
        <v>31842</v>
      </c>
      <c r="D6" s="6">
        <v>2771116.5</v>
      </c>
      <c r="E6" s="7">
        <f>SUMIFS(Лист2!C:C,Лист2!B:B,Лист1!B6,Лист2!A:A,Лист1!A6)</f>
        <v>21</v>
      </c>
      <c r="F6" s="7">
        <f>SUMIFS(Лист2!$D:$D,Лист2!$B:$B,Лист1!$B6,Лист2!$A:$A,Лист1!$A6)</f>
        <v>1860</v>
      </c>
      <c r="G6" s="7">
        <f>SUMIFS(Лист2!$E:$E,Лист2!$B:$B,Лист1!$B6,Лист2!$A:$A,Лист1!$A6)</f>
        <v>1704</v>
      </c>
      <c r="H6" s="14">
        <f t="shared" si="0"/>
        <v>131957.92857142858</v>
      </c>
      <c r="I6">
        <f t="shared" si="1"/>
        <v>21</v>
      </c>
    </row>
    <row r="7" spans="1:24" ht="14.25" customHeight="1" x14ac:dyDescent="0.3">
      <c r="A7" s="8">
        <v>43968</v>
      </c>
      <c r="B7" s="9" t="s">
        <v>10</v>
      </c>
      <c r="C7" s="9">
        <v>32023.5</v>
      </c>
      <c r="D7" s="9">
        <v>2882458.5</v>
      </c>
      <c r="E7" s="7">
        <f>SUMIFS(Лист2!C:C,Лист2!B:B,Лист1!B7,Лист2!A:A,Лист1!A7)</f>
        <v>21</v>
      </c>
      <c r="F7" s="7">
        <f>SUMIFS(Лист2!$D:$D,Лист2!$B:$B,Лист1!$B7,Лист2!$A:$A,Лист1!$A7)</f>
        <v>1874</v>
      </c>
      <c r="G7" s="7">
        <f>SUMIFS(Лист2!$E:$E,Лист2!$B:$B,Лист1!$B7,Лист2!$A:$A,Лист1!$A7)</f>
        <v>1705</v>
      </c>
      <c r="H7" s="14">
        <f t="shared" si="0"/>
        <v>137259.92857142858</v>
      </c>
      <c r="I7">
        <f t="shared" si="1"/>
        <v>20</v>
      </c>
    </row>
    <row r="8" spans="1:24" ht="14.25" customHeight="1" x14ac:dyDescent="0.3">
      <c r="A8" s="5">
        <v>43960</v>
      </c>
      <c r="B8" s="6" t="s">
        <v>10</v>
      </c>
      <c r="C8" s="6">
        <v>31147.5</v>
      </c>
      <c r="D8" s="6">
        <v>2831019</v>
      </c>
      <c r="E8" s="7">
        <f>SUMIFS(Лист2!C:C,Лист2!B:B,Лист1!B8,Лист2!A:A,Лист1!A8)</f>
        <v>21</v>
      </c>
      <c r="F8" s="7">
        <f>SUMIFS(Лист2!$D:$D,Лист2!$B:$B,Лист1!$B8,Лист2!$A:$A,Лист1!$A8)</f>
        <v>1735</v>
      </c>
      <c r="G8" s="7">
        <f>SUMIFS(Лист2!$E:$E,Лист2!$B:$B,Лист1!$B8,Лист2!$A:$A,Лист1!$A8)</f>
        <v>1568</v>
      </c>
      <c r="H8" s="14">
        <f t="shared" si="0"/>
        <v>134810.42857142858</v>
      </c>
      <c r="I8">
        <f t="shared" si="1"/>
        <v>19</v>
      </c>
    </row>
    <row r="9" spans="1:24" ht="14.25" customHeight="1" x14ac:dyDescent="0.3">
      <c r="A9" s="8">
        <v>43955</v>
      </c>
      <c r="B9" s="9" t="s">
        <v>10</v>
      </c>
      <c r="C9" s="9">
        <v>25566</v>
      </c>
      <c r="D9" s="9">
        <v>2372310</v>
      </c>
      <c r="E9" s="7">
        <f>SUMIFS(Лист2!C:C,Лист2!B:B,Лист1!B9,Лист2!A:A,Лист1!A9)</f>
        <v>20</v>
      </c>
      <c r="F9" s="7">
        <f>SUMIFS(Лист2!$D:$D,Лист2!$B:$B,Лист1!$B9,Лист2!$A:$A,Лист1!$A9)</f>
        <v>1519</v>
      </c>
      <c r="G9" s="7">
        <f>SUMIFS(Лист2!$E:$E,Лист2!$B:$B,Лист1!$B9,Лист2!$A:$A,Лист1!$A9)</f>
        <v>1372</v>
      </c>
      <c r="H9" s="14">
        <f t="shared" si="0"/>
        <v>118615.5</v>
      </c>
      <c r="I9">
        <f t="shared" si="1"/>
        <v>19</v>
      </c>
    </row>
    <row r="10" spans="1:24" ht="14.25" customHeight="1" x14ac:dyDescent="0.3">
      <c r="A10" s="5">
        <v>43950</v>
      </c>
      <c r="B10" s="6" t="s">
        <v>10</v>
      </c>
      <c r="C10" s="6">
        <v>29319</v>
      </c>
      <c r="D10" s="6">
        <v>2623480.5</v>
      </c>
      <c r="E10" s="7">
        <f>SUMIFS(Лист2!C:C,Лист2!B:B,Лист1!B10,Лист2!A:A,Лист1!A10)</f>
        <v>18</v>
      </c>
      <c r="F10" s="7">
        <f>SUMIFS(Лист2!$D:$D,Лист2!$B:$B,Лист1!$B10,Лист2!$A:$A,Лист1!$A10)</f>
        <v>1684</v>
      </c>
      <c r="G10" s="7">
        <f>SUMIFS(Лист2!$E:$E,Лист2!$B:$B,Лист1!$B10,Лист2!$A:$A,Лист1!$A10)</f>
        <v>1528</v>
      </c>
      <c r="H10" s="14">
        <f t="shared" si="0"/>
        <v>145748.91666666666</v>
      </c>
      <c r="I10">
        <f t="shared" si="1"/>
        <v>18</v>
      </c>
    </row>
    <row r="11" spans="1:24" ht="14.25" customHeight="1" x14ac:dyDescent="0.3">
      <c r="A11" s="8">
        <v>43953</v>
      </c>
      <c r="B11" s="9" t="s">
        <v>10</v>
      </c>
      <c r="C11" s="9">
        <v>29031</v>
      </c>
      <c r="D11" s="9">
        <v>2711247</v>
      </c>
      <c r="E11" s="7">
        <f>SUMIFS(Лист2!C:C,Лист2!B:B,Лист1!B11,Лист2!A:A,Лист1!A11)</f>
        <v>18</v>
      </c>
      <c r="F11" s="7">
        <f>SUMIFS(Лист2!$D:$D,Лист2!$B:$B,Лист1!$B11,Лист2!$A:$A,Лист1!$A11)</f>
        <v>1708</v>
      </c>
      <c r="G11" s="7">
        <f>SUMIFS(Лист2!$E:$E,Лист2!$B:$B,Лист1!$B11,Лист2!$A:$A,Лист1!$A11)</f>
        <v>1534</v>
      </c>
      <c r="H11" s="14">
        <f t="shared" si="0"/>
        <v>150624.83333333334</v>
      </c>
      <c r="I11">
        <f t="shared" si="1"/>
        <v>18</v>
      </c>
    </row>
    <row r="12" spans="1:24" ht="14.25" customHeight="1" x14ac:dyDescent="0.3">
      <c r="A12" s="5">
        <v>43977</v>
      </c>
      <c r="B12" s="6" t="s">
        <v>10</v>
      </c>
      <c r="C12" s="6">
        <v>33423</v>
      </c>
      <c r="D12" s="6">
        <v>2970330</v>
      </c>
      <c r="E12" s="7">
        <f>SUMIFS(Лист2!C:C,Лист2!B:B,Лист1!B12,Лист2!A:A,Лист1!A12)</f>
        <v>20</v>
      </c>
      <c r="F12" s="7">
        <f>SUMIFS(Лист2!$D:$D,Лист2!$B:$B,Лист1!$B12,Лист2!$A:$A,Лист1!$A12)</f>
        <v>2044</v>
      </c>
      <c r="G12" s="7">
        <f>SUMIFS(Лист2!$E:$E,Лист2!$B:$B,Лист1!$B12,Лист2!$A:$A,Лист1!$A12)</f>
        <v>1863</v>
      </c>
      <c r="H12" s="14">
        <f t="shared" si="0"/>
        <v>148516.5</v>
      </c>
      <c r="I12">
        <f t="shared" si="1"/>
        <v>22</v>
      </c>
    </row>
    <row r="13" spans="1:24" ht="14.25" customHeight="1" x14ac:dyDescent="0.3">
      <c r="A13" s="8">
        <v>43952</v>
      </c>
      <c r="B13" s="9" t="s">
        <v>10</v>
      </c>
      <c r="C13" s="9">
        <v>32487</v>
      </c>
      <c r="D13" s="9">
        <v>3031254</v>
      </c>
      <c r="E13" s="7">
        <f>SUMIFS(Лист2!C:C,Лист2!B:B,Лист1!B13,Лист2!A:A,Лист1!A13)</f>
        <v>18</v>
      </c>
      <c r="F13" s="7">
        <f>SUMIFS(Лист2!$D:$D,Лист2!$B:$B,Лист1!$B13,Лист2!$A:$A,Лист1!$A13)</f>
        <v>1826</v>
      </c>
      <c r="G13" s="7">
        <f>SUMIFS(Лист2!$E:$E,Лист2!$B:$B,Лист1!$B13,Лист2!$A:$A,Лист1!$A13)</f>
        <v>1633</v>
      </c>
      <c r="H13" s="14">
        <f t="shared" si="0"/>
        <v>168403</v>
      </c>
      <c r="I13">
        <f t="shared" si="1"/>
        <v>18</v>
      </c>
    </row>
    <row r="14" spans="1:24" ht="14.25" customHeight="1" x14ac:dyDescent="0.3">
      <c r="A14" s="5">
        <v>43963</v>
      </c>
      <c r="B14" s="6" t="s">
        <v>10</v>
      </c>
      <c r="C14" s="6">
        <v>28219.5</v>
      </c>
      <c r="D14" s="6">
        <v>2595778.5</v>
      </c>
      <c r="E14" s="7">
        <f>SUMIFS(Лист2!C:C,Лист2!B:B,Лист1!B14,Лист2!A:A,Лист1!A14)</f>
        <v>21</v>
      </c>
      <c r="F14" s="7">
        <f>SUMIFS(Лист2!$D:$D,Лист2!$B:$B,Лист1!$B14,Лист2!$A:$A,Лист1!$A14)</f>
        <v>1656</v>
      </c>
      <c r="G14" s="7">
        <f>SUMIFS(Лист2!$E:$E,Лист2!$B:$B,Лист1!$B14,Лист2!$A:$A,Лист1!$A14)</f>
        <v>1516</v>
      </c>
      <c r="H14" s="14">
        <f t="shared" si="0"/>
        <v>123608.5</v>
      </c>
      <c r="I14">
        <f t="shared" si="1"/>
        <v>20</v>
      </c>
    </row>
    <row r="15" spans="1:24" ht="14.25" customHeight="1" x14ac:dyDescent="0.3">
      <c r="A15" s="8">
        <v>43972</v>
      </c>
      <c r="B15" s="9" t="s">
        <v>10</v>
      </c>
      <c r="C15" s="9">
        <v>31272</v>
      </c>
      <c r="D15" s="9">
        <v>2744382</v>
      </c>
      <c r="E15" s="7">
        <f>SUMIFS(Лист2!C:C,Лист2!B:B,Лист1!B15,Лист2!A:A,Лист1!A15)</f>
        <v>21</v>
      </c>
      <c r="F15" s="7">
        <f>SUMIFS(Лист2!$D:$D,Лист2!$B:$B,Лист1!$B15,Лист2!$A:$A,Лист1!$A15)</f>
        <v>1787</v>
      </c>
      <c r="G15" s="7">
        <f>SUMIFS(Лист2!$E:$E,Лист2!$B:$B,Лист1!$B15,Лист2!$A:$A,Лист1!$A15)</f>
        <v>1626</v>
      </c>
      <c r="H15" s="14">
        <f t="shared" si="0"/>
        <v>130684.85714285714</v>
      </c>
      <c r="I15">
        <f t="shared" si="1"/>
        <v>21</v>
      </c>
    </row>
    <row r="16" spans="1:24" ht="14.25" customHeight="1" x14ac:dyDescent="0.3">
      <c r="A16" s="5">
        <v>43971</v>
      </c>
      <c r="B16" s="6" t="s">
        <v>10</v>
      </c>
      <c r="C16" s="6">
        <v>34077</v>
      </c>
      <c r="D16" s="6">
        <v>2929330.5</v>
      </c>
      <c r="E16" s="7">
        <f>SUMIFS(Лист2!C:C,Лист2!B:B,Лист1!B16,Лист2!A:A,Лист1!A16)</f>
        <v>21</v>
      </c>
      <c r="F16" s="7">
        <f>SUMIFS(Лист2!$D:$D,Лист2!$B:$B,Лист1!$B16,Лист2!$A:$A,Лист1!$A16)</f>
        <v>1921</v>
      </c>
      <c r="G16" s="7">
        <f>SUMIFS(Лист2!$E:$E,Лист2!$B:$B,Лист1!$B16,Лист2!$A:$A,Лист1!$A16)</f>
        <v>1767</v>
      </c>
      <c r="H16" s="14">
        <f t="shared" si="0"/>
        <v>139491.92857142858</v>
      </c>
      <c r="I16">
        <f t="shared" si="1"/>
        <v>21</v>
      </c>
    </row>
    <row r="17" spans="1:9" ht="14.25" customHeight="1" x14ac:dyDescent="0.3">
      <c r="A17" s="8">
        <v>43956</v>
      </c>
      <c r="B17" s="9" t="s">
        <v>10</v>
      </c>
      <c r="C17" s="9">
        <v>31566</v>
      </c>
      <c r="D17" s="9">
        <v>2906763</v>
      </c>
      <c r="E17" s="7">
        <f>SUMIFS(Лист2!C:C,Лист2!B:B,Лист1!B17,Лист2!A:A,Лист1!A17)</f>
        <v>20</v>
      </c>
      <c r="F17" s="7">
        <f>SUMIFS(Лист2!$D:$D,Лист2!$B:$B,Лист1!$B17,Лист2!$A:$A,Лист1!$A17)</f>
        <v>1773</v>
      </c>
      <c r="G17" s="7">
        <f>SUMIFS(Лист2!$E:$E,Лист2!$B:$B,Лист1!$B17,Лист2!$A:$A,Лист1!$A17)</f>
        <v>1604</v>
      </c>
      <c r="H17" s="14">
        <f t="shared" si="0"/>
        <v>145338.15</v>
      </c>
      <c r="I17">
        <f t="shared" si="1"/>
        <v>19</v>
      </c>
    </row>
    <row r="18" spans="1:9" ht="14.25" customHeight="1" x14ac:dyDescent="0.3">
      <c r="A18" s="5">
        <v>43949</v>
      </c>
      <c r="B18" s="6" t="s">
        <v>10</v>
      </c>
      <c r="C18" s="6">
        <v>26940</v>
      </c>
      <c r="D18" s="6">
        <v>2411587.5</v>
      </c>
      <c r="E18" s="7">
        <f>SUMIFS(Лист2!C:C,Лист2!B:B,Лист1!B18,Лист2!A:A,Лист1!A18)</f>
        <v>18</v>
      </c>
      <c r="F18" s="7">
        <f>SUMIFS(Лист2!$D:$D,Лист2!$B:$B,Лист1!$B18,Лист2!$A:$A,Лист1!$A18)</f>
        <v>1539</v>
      </c>
      <c r="G18" s="7">
        <f>SUMIFS(Лист2!$E:$E,Лист2!$B:$B,Лист1!$B18,Лист2!$A:$A,Лист1!$A18)</f>
        <v>1404</v>
      </c>
      <c r="H18" s="14">
        <f t="shared" si="0"/>
        <v>133977.08333333334</v>
      </c>
      <c r="I18">
        <f t="shared" si="1"/>
        <v>18</v>
      </c>
    </row>
    <row r="19" spans="1:9" ht="14.25" customHeight="1" x14ac:dyDescent="0.3">
      <c r="A19" s="8">
        <v>43964</v>
      </c>
      <c r="B19" s="9" t="s">
        <v>10</v>
      </c>
      <c r="C19" s="9">
        <v>29241</v>
      </c>
      <c r="D19" s="9">
        <v>2629782</v>
      </c>
      <c r="E19" s="7">
        <f>SUMIFS(Лист2!C:C,Лист2!B:B,Лист1!B19,Лист2!A:A,Лист1!A19)</f>
        <v>21</v>
      </c>
      <c r="F19" s="7">
        <f>SUMIFS(Лист2!$D:$D,Лист2!$B:$B,Лист1!$B19,Лист2!$A:$A,Лист1!$A19)</f>
        <v>1698</v>
      </c>
      <c r="G19" s="7">
        <f>SUMIFS(Лист2!$E:$E,Лист2!$B:$B,Лист1!$B19,Лист2!$A:$A,Лист1!$A19)</f>
        <v>1554</v>
      </c>
      <c r="H19" s="14">
        <f t="shared" si="0"/>
        <v>125227.71428571429</v>
      </c>
      <c r="I19">
        <f t="shared" si="1"/>
        <v>20</v>
      </c>
    </row>
    <row r="20" spans="1:9" ht="14.25" customHeight="1" x14ac:dyDescent="0.3">
      <c r="A20" s="5">
        <v>43954</v>
      </c>
      <c r="B20" s="6" t="s">
        <v>10</v>
      </c>
      <c r="C20" s="6">
        <v>26082</v>
      </c>
      <c r="D20" s="6">
        <v>2434914</v>
      </c>
      <c r="E20" s="7">
        <f>SUMIFS(Лист2!C:C,Лист2!B:B,Лист1!B20,Лист2!A:A,Лист1!A20)</f>
        <v>20</v>
      </c>
      <c r="F20" s="7">
        <f>SUMIFS(Лист2!$D:$D,Лист2!$B:$B,Лист1!$B20,Лист2!$A:$A,Лист1!$A20)</f>
        <v>1520</v>
      </c>
      <c r="G20" s="7">
        <f>SUMIFS(Лист2!$E:$E,Лист2!$B:$B,Лист1!$B20,Лист2!$A:$A,Лист1!$A20)</f>
        <v>1373</v>
      </c>
      <c r="H20" s="14">
        <f t="shared" si="0"/>
        <v>121745.7</v>
      </c>
      <c r="I20">
        <f t="shared" si="1"/>
        <v>18</v>
      </c>
    </row>
    <row r="21" spans="1:9" ht="14.25" customHeight="1" x14ac:dyDescent="0.3">
      <c r="A21" s="8">
        <v>43957</v>
      </c>
      <c r="B21" s="9" t="s">
        <v>10</v>
      </c>
      <c r="C21" s="9">
        <v>32511</v>
      </c>
      <c r="D21" s="9">
        <v>2938623</v>
      </c>
      <c r="E21" s="7">
        <f>SUMIFS(Лист2!C:C,Лист2!B:B,Лист1!B21,Лист2!A:A,Лист1!A21)</f>
        <v>20</v>
      </c>
      <c r="F21" s="7">
        <f>SUMIFS(Лист2!$D:$D,Лист2!$B:$B,Лист1!$B21,Лист2!$A:$A,Лист1!$A21)</f>
        <v>1784</v>
      </c>
      <c r="G21" s="7">
        <f>SUMIFS(Лист2!$E:$E,Лист2!$B:$B,Лист1!$B21,Лист2!$A:$A,Лист1!$A21)</f>
        <v>1632</v>
      </c>
      <c r="H21" s="14">
        <f t="shared" si="0"/>
        <v>146931.15</v>
      </c>
      <c r="I21">
        <f t="shared" si="1"/>
        <v>19</v>
      </c>
    </row>
    <row r="22" spans="1:9" ht="14.25" customHeight="1" x14ac:dyDescent="0.3">
      <c r="A22" s="5">
        <v>43974</v>
      </c>
      <c r="B22" s="6" t="s">
        <v>10</v>
      </c>
      <c r="C22" s="6">
        <v>42703.5</v>
      </c>
      <c r="D22" s="6">
        <v>3628726.5</v>
      </c>
      <c r="E22" s="7">
        <f>SUMIFS(Лист2!C:C,Лист2!B:B,Лист1!B22,Лист2!A:A,Лист1!A22)</f>
        <v>21</v>
      </c>
      <c r="F22" s="7">
        <f>SUMIFS(Лист2!$D:$D,Лист2!$B:$B,Лист1!$B22,Лист2!$A:$A,Лист1!$A22)</f>
        <v>2340</v>
      </c>
      <c r="G22" s="7">
        <f>SUMIFS(Лист2!$E:$E,Лист2!$B:$B,Лист1!$B22,Лист2!$A:$A,Лист1!$A22)</f>
        <v>2146</v>
      </c>
      <c r="H22" s="14">
        <f t="shared" si="0"/>
        <v>172796.5</v>
      </c>
      <c r="I22">
        <f t="shared" si="1"/>
        <v>21</v>
      </c>
    </row>
    <row r="23" spans="1:9" ht="14.25" customHeight="1" x14ac:dyDescent="0.3">
      <c r="A23" s="8">
        <v>43976</v>
      </c>
      <c r="B23" s="9" t="s">
        <v>10</v>
      </c>
      <c r="C23" s="9">
        <v>35592</v>
      </c>
      <c r="D23" s="9">
        <v>3176580</v>
      </c>
      <c r="E23" s="7">
        <f>SUMIFS(Лист2!C:C,Лист2!B:B,Лист1!B23,Лист2!A:A,Лист1!A23)</f>
        <v>20</v>
      </c>
      <c r="F23" s="7">
        <f>SUMIFS(Лист2!$D:$D,Лист2!$B:$B,Лист1!$B23,Лист2!$A:$A,Лист1!$A23)</f>
        <v>2087</v>
      </c>
      <c r="G23" s="7">
        <f>SUMIFS(Лист2!$E:$E,Лист2!$B:$B,Лист1!$B23,Лист2!$A:$A,Лист1!$A23)</f>
        <v>1914</v>
      </c>
      <c r="H23" s="14">
        <f t="shared" si="0"/>
        <v>158829</v>
      </c>
      <c r="I23">
        <f t="shared" si="1"/>
        <v>22</v>
      </c>
    </row>
    <row r="24" spans="1:9" ht="14.25" customHeight="1" x14ac:dyDescent="0.3">
      <c r="A24" s="5">
        <v>43951</v>
      </c>
      <c r="B24" s="6" t="s">
        <v>10</v>
      </c>
      <c r="C24" s="6">
        <v>30445.5</v>
      </c>
      <c r="D24" s="6">
        <v>2817196.5</v>
      </c>
      <c r="E24" s="7">
        <f>SUMIFS(Лист2!C:C,Лист2!B:B,Лист1!B24,Лист2!A:A,Лист1!A24)</f>
        <v>19</v>
      </c>
      <c r="F24" s="7">
        <f>SUMIFS(Лист2!$D:$D,Лист2!$B:$B,Лист1!$B24,Лист2!$A:$A,Лист1!$A24)</f>
        <v>1712</v>
      </c>
      <c r="G24" s="7">
        <f>SUMIFS(Лист2!$E:$E,Лист2!$B:$B,Лист1!$B24,Лист2!$A:$A,Лист1!$A24)</f>
        <v>1552</v>
      </c>
      <c r="H24" s="14">
        <f t="shared" si="0"/>
        <v>148273.5</v>
      </c>
      <c r="I24">
        <f t="shared" si="1"/>
        <v>18</v>
      </c>
    </row>
    <row r="25" spans="1:9" ht="14.25" customHeight="1" x14ac:dyDescent="0.3">
      <c r="A25" s="8">
        <v>43961</v>
      </c>
      <c r="B25" s="9" t="s">
        <v>10</v>
      </c>
      <c r="C25" s="9">
        <v>36619.5</v>
      </c>
      <c r="D25" s="9">
        <v>3312967.5</v>
      </c>
      <c r="E25" s="7">
        <f>SUMIFS(Лист2!C:C,Лист2!B:B,Лист1!B25,Лист2!A:A,Лист1!A25)</f>
        <v>21</v>
      </c>
      <c r="F25" s="7">
        <f>SUMIFS(Лист2!$D:$D,Лист2!$B:$B,Лист1!$B25,Лист2!$A:$A,Лист1!$A25)</f>
        <v>2016</v>
      </c>
      <c r="G25" s="7">
        <f>SUMIFS(Лист2!$E:$E,Лист2!$B:$B,Лист1!$B25,Лист2!$A:$A,Лист1!$A25)</f>
        <v>1846</v>
      </c>
      <c r="H25" s="14">
        <f t="shared" si="0"/>
        <v>157760.35714285713</v>
      </c>
      <c r="I25">
        <f t="shared" si="1"/>
        <v>19</v>
      </c>
    </row>
    <row r="26" spans="1:9" ht="14.25" customHeight="1" x14ac:dyDescent="0.3">
      <c r="A26" s="5">
        <v>43959</v>
      </c>
      <c r="B26" s="6" t="s">
        <v>10</v>
      </c>
      <c r="C26" s="6">
        <v>29409</v>
      </c>
      <c r="D26" s="6">
        <v>2645160</v>
      </c>
      <c r="E26" s="7">
        <f>SUMIFS(Лист2!C:C,Лист2!B:B,Лист1!B26,Лист2!A:A,Лист1!A26)</f>
        <v>21</v>
      </c>
      <c r="F26" s="7">
        <f>SUMIFS(Лист2!$D:$D,Лист2!$B:$B,Лист1!$B26,Лист2!$A:$A,Лист1!$A26)</f>
        <v>1646</v>
      </c>
      <c r="G26" s="7">
        <f>SUMIFS(Лист2!$E:$E,Лист2!$B:$B,Лист1!$B26,Лист2!$A:$A,Лист1!$A26)</f>
        <v>1492</v>
      </c>
      <c r="H26" s="14">
        <f t="shared" si="0"/>
        <v>125960</v>
      </c>
      <c r="I26">
        <f t="shared" si="1"/>
        <v>19</v>
      </c>
    </row>
    <row r="27" spans="1:9" ht="14.25" customHeight="1" x14ac:dyDescent="0.3">
      <c r="A27" s="8">
        <v>43958</v>
      </c>
      <c r="B27" s="9" t="s">
        <v>10</v>
      </c>
      <c r="C27" s="9">
        <v>27018</v>
      </c>
      <c r="D27" s="9">
        <v>2472213</v>
      </c>
      <c r="E27" s="7">
        <f>SUMIFS(Лист2!C:C,Лист2!B:B,Лист1!B27,Лист2!A:A,Лист1!A27)</f>
        <v>21</v>
      </c>
      <c r="F27" s="7">
        <f>SUMIFS(Лист2!$D:$D,Лист2!$B:$B,Лист1!$B27,Лист2!$A:$A,Лист1!$A27)</f>
        <v>1542</v>
      </c>
      <c r="G27" s="7">
        <f>SUMIFS(Лист2!$E:$E,Лист2!$B:$B,Лист1!$B27,Лист2!$A:$A,Лист1!$A27)</f>
        <v>1405</v>
      </c>
      <c r="H27" s="14">
        <f t="shared" si="0"/>
        <v>117724.42857142857</v>
      </c>
      <c r="I27">
        <f t="shared" si="1"/>
        <v>19</v>
      </c>
    </row>
    <row r="28" spans="1:9" ht="14.25" customHeight="1" x14ac:dyDescent="0.3">
      <c r="A28" s="5">
        <v>43975</v>
      </c>
      <c r="B28" s="6" t="s">
        <v>10</v>
      </c>
      <c r="C28" s="6">
        <v>34303.5</v>
      </c>
      <c r="D28" s="6">
        <v>2924746.5</v>
      </c>
      <c r="E28" s="7">
        <f>SUMIFS(Лист2!C:C,Лист2!B:B,Лист1!B28,Лист2!A:A,Лист1!A28)</f>
        <v>20</v>
      </c>
      <c r="F28" s="7">
        <f>SUMIFS(Лист2!$D:$D,Лист2!$B:$B,Лист1!$B28,Лист2!$A:$A,Лист1!$A28)</f>
        <v>1999</v>
      </c>
      <c r="G28" s="7">
        <f>SUMIFS(Лист2!$E:$E,Лист2!$B:$B,Лист1!$B28,Лист2!$A:$A,Лист1!$A28)</f>
        <v>1829</v>
      </c>
      <c r="H28" s="14">
        <f t="shared" si="0"/>
        <v>146237.32500000001</v>
      </c>
      <c r="I28">
        <f t="shared" si="1"/>
        <v>21</v>
      </c>
    </row>
    <row r="29" spans="1:9" ht="14.25" customHeight="1" x14ac:dyDescent="0.3">
      <c r="A29" s="8">
        <v>43982</v>
      </c>
      <c r="B29" s="9" t="s">
        <v>10</v>
      </c>
      <c r="C29" s="9">
        <v>36999</v>
      </c>
      <c r="D29" s="9">
        <v>3473895</v>
      </c>
      <c r="E29" s="7">
        <f>SUMIFS(Лист2!C:C,Лист2!B:B,Лист1!B29,Лист2!A:A,Лист1!A29)</f>
        <v>21</v>
      </c>
      <c r="F29" s="7">
        <f>SUMIFS(Лист2!$D:$D,Лист2!$B:$B,Лист1!$B29,Лист2!$A:$A,Лист1!$A29)</f>
        <v>2271</v>
      </c>
      <c r="G29" s="7">
        <f>SUMIFS(Лист2!$E:$E,Лист2!$B:$B,Лист1!$B29,Лист2!$A:$A,Лист1!$A29)</f>
        <v>2085</v>
      </c>
      <c r="H29" s="14">
        <f t="shared" si="0"/>
        <v>165423.57142857142</v>
      </c>
      <c r="I29">
        <f t="shared" si="1"/>
        <v>22</v>
      </c>
    </row>
    <row r="30" spans="1:9" ht="14.25" customHeight="1" x14ac:dyDescent="0.3">
      <c r="A30" s="5">
        <v>43981</v>
      </c>
      <c r="B30" s="6" t="s">
        <v>10</v>
      </c>
      <c r="C30" s="6">
        <v>44001</v>
      </c>
      <c r="D30" s="6">
        <v>3921784.5</v>
      </c>
      <c r="E30" s="7">
        <f>SUMIFS(Лист2!C:C,Лист2!B:B,Лист1!B30,Лист2!A:A,Лист1!A30)</f>
        <v>20</v>
      </c>
      <c r="F30" s="7">
        <f>SUMIFS(Лист2!$D:$D,Лист2!$B:$B,Лист1!$B30,Лист2!$A:$A,Лист1!$A30)</f>
        <v>2597</v>
      </c>
      <c r="G30" s="7">
        <f>SUMIFS(Лист2!$E:$E,Лист2!$B:$B,Лист1!$B30,Лист2!$A:$A,Лист1!$A30)</f>
        <v>2376</v>
      </c>
      <c r="H30" s="14">
        <f t="shared" si="0"/>
        <v>196089.22500000001</v>
      </c>
      <c r="I30">
        <f t="shared" si="1"/>
        <v>22</v>
      </c>
    </row>
    <row r="31" spans="1:9" ht="14.25" customHeight="1" x14ac:dyDescent="0.3">
      <c r="A31" s="8">
        <v>43979</v>
      </c>
      <c r="B31" s="9" t="s">
        <v>10</v>
      </c>
      <c r="C31" s="9">
        <v>30982.5</v>
      </c>
      <c r="D31" s="9">
        <v>2827773</v>
      </c>
      <c r="E31" s="7">
        <f>SUMIFS(Лист2!C:C,Лист2!B:B,Лист1!B31,Лист2!A:A,Лист1!A31)</f>
        <v>20</v>
      </c>
      <c r="F31" s="7">
        <f>SUMIFS(Лист2!$D:$D,Лист2!$B:$B,Лист1!$B31,Лист2!$A:$A,Лист1!$A31)</f>
        <v>1886</v>
      </c>
      <c r="G31" s="7">
        <f>SUMIFS(Лист2!$E:$E,Лист2!$B:$B,Лист1!$B31,Лист2!$A:$A,Лист1!$A31)</f>
        <v>1736</v>
      </c>
      <c r="H31" s="14">
        <f t="shared" si="0"/>
        <v>141388.65</v>
      </c>
      <c r="I31">
        <f t="shared" si="1"/>
        <v>22</v>
      </c>
    </row>
    <row r="32" spans="1:9" ht="14.25" customHeight="1" x14ac:dyDescent="0.3">
      <c r="A32" s="5">
        <v>43967</v>
      </c>
      <c r="B32" s="6" t="s">
        <v>11</v>
      </c>
      <c r="C32" s="6">
        <v>88063.5</v>
      </c>
      <c r="D32" s="6">
        <v>7583758.5</v>
      </c>
      <c r="E32" s="7">
        <f>SUMIFS(Лист2!C:C,Лист2!B:B,Лист1!B32,Лист2!A:A,Лист1!A32)</f>
        <v>31</v>
      </c>
      <c r="F32" s="7">
        <f>SUMIFS(Лист2!$D:$D,Лист2!$B:$B,Лист1!$B32,Лист2!$A:$A,Лист1!$A32)</f>
        <v>5593</v>
      </c>
      <c r="G32" s="7">
        <f>SUMIFS(Лист2!$E:$E,Лист2!$B:$B,Лист1!$B32,Лист2!$A:$A,Лист1!$A32)</f>
        <v>5177</v>
      </c>
      <c r="H32" s="14">
        <f t="shared" si="0"/>
        <v>244637.37096774194</v>
      </c>
      <c r="I32">
        <f t="shared" si="1"/>
        <v>20</v>
      </c>
    </row>
    <row r="33" spans="1:9" ht="14.25" customHeight="1" x14ac:dyDescent="0.3">
      <c r="A33" s="8">
        <v>43970</v>
      </c>
      <c r="B33" s="9" t="s">
        <v>11</v>
      </c>
      <c r="C33" s="9">
        <v>84024</v>
      </c>
      <c r="D33" s="9">
        <v>6815511</v>
      </c>
      <c r="E33" s="7">
        <f>SUMIFS(Лист2!C:C,Лист2!B:B,Лист1!B33,Лист2!A:A,Лист1!A33)</f>
        <v>31</v>
      </c>
      <c r="F33" s="7">
        <f>SUMIFS(Лист2!$D:$D,Лист2!$B:$B,Лист1!$B33,Лист2!$A:$A,Лист1!$A33)</f>
        <v>5389</v>
      </c>
      <c r="G33" s="7">
        <f>SUMIFS(Лист2!$E:$E,Лист2!$B:$B,Лист1!$B33,Лист2!$A:$A,Лист1!$A33)</f>
        <v>5024</v>
      </c>
      <c r="H33" s="14">
        <f t="shared" si="0"/>
        <v>219855.19354838709</v>
      </c>
      <c r="I33">
        <f t="shared" si="1"/>
        <v>21</v>
      </c>
    </row>
    <row r="34" spans="1:9" ht="14.25" customHeight="1" x14ac:dyDescent="0.3">
      <c r="A34" s="5">
        <v>43968</v>
      </c>
      <c r="B34" s="6" t="s">
        <v>11</v>
      </c>
      <c r="C34" s="6">
        <v>78057</v>
      </c>
      <c r="D34" s="6">
        <v>6774946.5</v>
      </c>
      <c r="E34" s="7">
        <f>SUMIFS(Лист2!C:C,Лист2!B:B,Лист1!B34,Лист2!A:A,Лист1!A34)</f>
        <v>31</v>
      </c>
      <c r="F34" s="7">
        <f>SUMIFS(Лист2!$D:$D,Лист2!$B:$B,Лист1!$B34,Лист2!$A:$A,Лист1!$A34)</f>
        <v>5206</v>
      </c>
      <c r="G34" s="7">
        <f>SUMIFS(Лист2!$E:$E,Лист2!$B:$B,Лист1!$B34,Лист2!$A:$A,Лист1!$A34)</f>
        <v>4843</v>
      </c>
      <c r="H34" s="14">
        <f t="shared" si="0"/>
        <v>218546.66129032258</v>
      </c>
      <c r="I34">
        <f t="shared" si="1"/>
        <v>20</v>
      </c>
    </row>
    <row r="35" spans="1:9" ht="14.25" customHeight="1" x14ac:dyDescent="0.3">
      <c r="A35" s="8">
        <v>43960</v>
      </c>
      <c r="B35" s="9" t="s">
        <v>11</v>
      </c>
      <c r="C35" s="9">
        <v>69720</v>
      </c>
      <c r="D35" s="9">
        <v>6264933</v>
      </c>
      <c r="E35" s="7">
        <f>SUMIFS(Лист2!C:C,Лист2!B:B,Лист1!B35,Лист2!A:A,Лист1!A35)</f>
        <v>31</v>
      </c>
      <c r="F35" s="7">
        <f>SUMIFS(Лист2!$D:$D,Лист2!$B:$B,Лист1!$B35,Лист2!$A:$A,Лист1!$A35)</f>
        <v>4556</v>
      </c>
      <c r="G35" s="7">
        <f>SUMIFS(Лист2!$E:$E,Лист2!$B:$B,Лист1!$B35,Лист2!$A:$A,Лист1!$A35)</f>
        <v>4220</v>
      </c>
      <c r="H35" s="14">
        <f t="shared" si="0"/>
        <v>202094.61290322582</v>
      </c>
      <c r="I35">
        <f t="shared" si="1"/>
        <v>19</v>
      </c>
    </row>
    <row r="36" spans="1:9" ht="14.25" customHeight="1" x14ac:dyDescent="0.3">
      <c r="A36" s="5">
        <v>43955</v>
      </c>
      <c r="B36" s="6" t="s">
        <v>11</v>
      </c>
      <c r="C36" s="6">
        <v>72928.5</v>
      </c>
      <c r="D36" s="6">
        <v>6642249</v>
      </c>
      <c r="E36" s="7">
        <f>SUMIFS(Лист2!C:C,Лист2!B:B,Лист1!B36,Лист2!A:A,Лист1!A36)</f>
        <v>31</v>
      </c>
      <c r="F36" s="7">
        <f>SUMIFS(Лист2!$D:$D,Лист2!$B:$B,Лист1!$B36,Лист2!$A:$A,Лист1!$A36)</f>
        <v>4968</v>
      </c>
      <c r="G36" s="7">
        <f>SUMIFS(Лист2!$E:$E,Лист2!$B:$B,Лист1!$B36,Лист2!$A:$A,Лист1!$A36)</f>
        <v>4596</v>
      </c>
      <c r="H36" s="14">
        <f t="shared" si="0"/>
        <v>214266.09677419355</v>
      </c>
      <c r="I36">
        <f t="shared" si="1"/>
        <v>19</v>
      </c>
    </row>
    <row r="37" spans="1:9" ht="14.25" customHeight="1" x14ac:dyDescent="0.3">
      <c r="A37" s="8">
        <v>43950</v>
      </c>
      <c r="B37" s="9" t="s">
        <v>11</v>
      </c>
      <c r="C37" s="9">
        <v>79527</v>
      </c>
      <c r="D37" s="9">
        <v>7180498.5</v>
      </c>
      <c r="E37" s="7">
        <f>SUMIFS(Лист2!C:C,Лист2!B:B,Лист1!B37,Лист2!A:A,Лист1!A37)</f>
        <v>31</v>
      </c>
      <c r="F37" s="7">
        <f>SUMIFS(Лист2!$D:$D,Лист2!$B:$B,Лист1!$B37,Лист2!$A:$A,Лист1!$A37)</f>
        <v>5378</v>
      </c>
      <c r="G37" s="7">
        <f>SUMIFS(Лист2!$E:$E,Лист2!$B:$B,Лист1!$B37,Лист2!$A:$A,Лист1!$A37)</f>
        <v>4985</v>
      </c>
      <c r="H37" s="14">
        <f t="shared" si="0"/>
        <v>231628.98387096773</v>
      </c>
      <c r="I37">
        <f t="shared" si="1"/>
        <v>18</v>
      </c>
    </row>
    <row r="38" spans="1:9" ht="14.25" customHeight="1" x14ac:dyDescent="0.3">
      <c r="A38" s="5">
        <v>43953</v>
      </c>
      <c r="B38" s="6" t="s">
        <v>11</v>
      </c>
      <c r="C38" s="6">
        <v>60463.5</v>
      </c>
      <c r="D38" s="6">
        <v>5554192.5</v>
      </c>
      <c r="E38" s="7">
        <f>SUMIFS(Лист2!C:C,Лист2!B:B,Лист1!B38,Лист2!A:A,Лист1!A38)</f>
        <v>31</v>
      </c>
      <c r="F38" s="7">
        <f>SUMIFS(Лист2!$D:$D,Лист2!$B:$B,Лист1!$B38,Лист2!$A:$A,Лист1!$A38)</f>
        <v>4157</v>
      </c>
      <c r="G38" s="7">
        <f>SUMIFS(Лист2!$E:$E,Лист2!$B:$B,Лист1!$B38,Лист2!$A:$A,Лист1!$A38)</f>
        <v>3823</v>
      </c>
      <c r="H38" s="14">
        <f t="shared" si="0"/>
        <v>179167.5</v>
      </c>
      <c r="I38">
        <f t="shared" si="1"/>
        <v>18</v>
      </c>
    </row>
    <row r="39" spans="1:9" ht="14.25" customHeight="1" x14ac:dyDescent="0.3">
      <c r="A39" s="8">
        <v>43977</v>
      </c>
      <c r="B39" s="9" t="s">
        <v>11</v>
      </c>
      <c r="C39" s="9">
        <v>79975.5</v>
      </c>
      <c r="D39" s="9">
        <v>6676459.5</v>
      </c>
      <c r="E39" s="7">
        <f>SUMIFS(Лист2!C:C,Лист2!B:B,Лист1!B39,Лист2!A:A,Лист1!A39)</f>
        <v>31</v>
      </c>
      <c r="F39" s="7">
        <f>SUMIFS(Лист2!$D:$D,Лист2!$B:$B,Лист1!$B39,Лист2!$A:$A,Лист1!$A39)</f>
        <v>5493</v>
      </c>
      <c r="G39" s="7">
        <f>SUMIFS(Лист2!$E:$E,Лист2!$B:$B,Лист1!$B39,Лист2!$A:$A,Лист1!$A39)</f>
        <v>5119</v>
      </c>
      <c r="H39" s="14">
        <f t="shared" si="0"/>
        <v>215369.66129032258</v>
      </c>
      <c r="I39">
        <f t="shared" si="1"/>
        <v>22</v>
      </c>
    </row>
    <row r="40" spans="1:9" ht="14.25" customHeight="1" x14ac:dyDescent="0.3">
      <c r="A40" s="5">
        <v>43952</v>
      </c>
      <c r="B40" s="6" t="s">
        <v>11</v>
      </c>
      <c r="C40" s="6">
        <v>97534.5</v>
      </c>
      <c r="D40" s="6">
        <v>8893024.5</v>
      </c>
      <c r="E40" s="7">
        <f>SUMIFS(Лист2!C:C,Лист2!B:B,Лист1!B40,Лист2!A:A,Лист1!A40)</f>
        <v>31</v>
      </c>
      <c r="F40" s="7">
        <f>SUMIFS(Лист2!$D:$D,Лист2!$B:$B,Лист1!$B40,Лист2!$A:$A,Лист1!$A40)</f>
        <v>6118</v>
      </c>
      <c r="G40" s="7">
        <f>SUMIFS(Лист2!$E:$E,Лист2!$B:$B,Лист1!$B40,Лист2!$A:$A,Лист1!$A40)</f>
        <v>5564</v>
      </c>
      <c r="H40" s="14">
        <f t="shared" si="0"/>
        <v>286871.75806451612</v>
      </c>
      <c r="I40">
        <f t="shared" si="1"/>
        <v>18</v>
      </c>
    </row>
    <row r="41" spans="1:9" ht="14.25" customHeight="1" x14ac:dyDescent="0.3">
      <c r="A41" s="8">
        <v>43963</v>
      </c>
      <c r="B41" s="9" t="s">
        <v>11</v>
      </c>
      <c r="C41" s="9">
        <v>71520</v>
      </c>
      <c r="D41" s="9">
        <v>6398361</v>
      </c>
      <c r="E41" s="7">
        <f>SUMIFS(Лист2!C:C,Лист2!B:B,Лист1!B41,Лист2!A:A,Лист1!A41)</f>
        <v>31</v>
      </c>
      <c r="F41" s="7">
        <f>SUMIFS(Лист2!$D:$D,Лист2!$B:$B,Лист1!$B41,Лист2!$A:$A,Лист1!$A41)</f>
        <v>4800</v>
      </c>
      <c r="G41" s="7">
        <f>SUMIFS(Лист2!$E:$E,Лист2!$B:$B,Лист1!$B41,Лист2!$A:$A,Лист1!$A41)</f>
        <v>4470</v>
      </c>
      <c r="H41" s="14">
        <f t="shared" si="0"/>
        <v>206398.74193548388</v>
      </c>
      <c r="I41">
        <f t="shared" si="1"/>
        <v>20</v>
      </c>
    </row>
    <row r="42" spans="1:9" ht="14.25" customHeight="1" x14ac:dyDescent="0.3">
      <c r="A42" s="5">
        <v>43972</v>
      </c>
      <c r="B42" s="6" t="s">
        <v>11</v>
      </c>
      <c r="C42" s="6">
        <v>79485</v>
      </c>
      <c r="D42" s="6">
        <v>6633847.5</v>
      </c>
      <c r="E42" s="7">
        <f>SUMIFS(Лист2!C:C,Лист2!B:B,Лист1!B42,Лист2!A:A,Лист1!A42)</f>
        <v>31</v>
      </c>
      <c r="F42" s="7">
        <f>SUMIFS(Лист2!$D:$D,Лист2!$B:$B,Лист1!$B42,Лист2!$A:$A,Лист1!$A42)</f>
        <v>5207</v>
      </c>
      <c r="G42" s="7">
        <f>SUMIFS(Лист2!$E:$E,Лист2!$B:$B,Лист1!$B42,Лист2!$A:$A,Лист1!$A42)</f>
        <v>4868</v>
      </c>
      <c r="H42" s="14">
        <f t="shared" si="0"/>
        <v>213995.0806451613</v>
      </c>
      <c r="I42">
        <f t="shared" si="1"/>
        <v>21</v>
      </c>
    </row>
    <row r="43" spans="1:9" ht="14.25" customHeight="1" x14ac:dyDescent="0.3">
      <c r="A43" s="8">
        <v>43971</v>
      </c>
      <c r="B43" s="9" t="s">
        <v>11</v>
      </c>
      <c r="C43" s="9">
        <v>93313.5</v>
      </c>
      <c r="D43" s="9">
        <v>7247575.5</v>
      </c>
      <c r="E43" s="7">
        <f>SUMIFS(Лист2!C:C,Лист2!B:B,Лист1!B43,Лист2!A:A,Лист1!A43)</f>
        <v>31</v>
      </c>
      <c r="F43" s="7">
        <f>SUMIFS(Лист2!$D:$D,Лист2!$B:$B,Лист1!$B43,Лист2!$A:$A,Лист1!$A43)</f>
        <v>5698</v>
      </c>
      <c r="G43" s="7">
        <f>SUMIFS(Лист2!$E:$E,Лист2!$B:$B,Лист1!$B43,Лист2!$A:$A,Лист1!$A43)</f>
        <v>5258</v>
      </c>
      <c r="H43" s="14">
        <f t="shared" si="0"/>
        <v>233792.75806451612</v>
      </c>
      <c r="I43">
        <f t="shared" si="1"/>
        <v>21</v>
      </c>
    </row>
    <row r="44" spans="1:9" ht="14.25" customHeight="1" x14ac:dyDescent="0.3">
      <c r="A44" s="5">
        <v>43956</v>
      </c>
      <c r="B44" s="6" t="s">
        <v>11</v>
      </c>
      <c r="C44" s="6">
        <v>76585.5</v>
      </c>
      <c r="D44" s="6">
        <v>6921316.5</v>
      </c>
      <c r="E44" s="7">
        <f>SUMIFS(Лист2!C:C,Лист2!B:B,Лист1!B44,Лист2!A:A,Лист1!A44)</f>
        <v>31</v>
      </c>
      <c r="F44" s="7">
        <f>SUMIFS(Лист2!$D:$D,Лист2!$B:$B,Лист1!$B44,Лист2!$A:$A,Лист1!$A44)</f>
        <v>5188</v>
      </c>
      <c r="G44" s="7">
        <f>SUMIFS(Лист2!$E:$E,Лист2!$B:$B,Лист1!$B44,Лист2!$A:$A,Лист1!$A44)</f>
        <v>4800</v>
      </c>
      <c r="H44" s="14">
        <f t="shared" si="0"/>
        <v>223268.27419354839</v>
      </c>
      <c r="I44">
        <f t="shared" si="1"/>
        <v>19</v>
      </c>
    </row>
    <row r="45" spans="1:9" ht="14.25" customHeight="1" x14ac:dyDescent="0.3">
      <c r="A45" s="8">
        <v>43949</v>
      </c>
      <c r="B45" s="9" t="s">
        <v>11</v>
      </c>
      <c r="C45" s="9">
        <v>81826.5</v>
      </c>
      <c r="D45" s="9">
        <v>7163644.5</v>
      </c>
      <c r="E45" s="7">
        <f>SUMIFS(Лист2!C:C,Лист2!B:B,Лист1!B45,Лист2!A:A,Лист1!A45)</f>
        <v>31</v>
      </c>
      <c r="F45" s="7">
        <f>SUMIFS(Лист2!$D:$D,Лист2!$B:$B,Лист1!$B45,Лист2!$A:$A,Лист1!$A45)</f>
        <v>5465</v>
      </c>
      <c r="G45" s="7">
        <f>SUMIFS(Лист2!$E:$E,Лист2!$B:$B,Лист1!$B45,Лист2!$A:$A,Лист1!$A45)</f>
        <v>5096</v>
      </c>
      <c r="H45" s="14">
        <f t="shared" si="0"/>
        <v>231085.30645161291</v>
      </c>
      <c r="I45">
        <f t="shared" si="1"/>
        <v>18</v>
      </c>
    </row>
    <row r="46" spans="1:9" ht="14.25" customHeight="1" x14ac:dyDescent="0.3">
      <c r="A46" s="5">
        <v>43964</v>
      </c>
      <c r="B46" s="6" t="s">
        <v>11</v>
      </c>
      <c r="C46" s="6">
        <v>78846</v>
      </c>
      <c r="D46" s="6">
        <v>6993952.5</v>
      </c>
      <c r="E46" s="7">
        <f>SUMIFS(Лист2!C:C,Лист2!B:B,Лист1!B46,Лист2!A:A,Лист1!A46)</f>
        <v>31</v>
      </c>
      <c r="F46" s="7">
        <f>SUMIFS(Лист2!$D:$D,Лист2!$B:$B,Лист1!$B46,Лист2!$A:$A,Лист1!$A46)</f>
        <v>5251</v>
      </c>
      <c r="G46" s="7">
        <f>SUMIFS(Лист2!$E:$E,Лист2!$B:$B,Лист1!$B46,Лист2!$A:$A,Лист1!$A46)</f>
        <v>4853</v>
      </c>
      <c r="H46" s="14">
        <f t="shared" si="0"/>
        <v>225611.37096774194</v>
      </c>
      <c r="I46">
        <f t="shared" si="1"/>
        <v>20</v>
      </c>
    </row>
    <row r="47" spans="1:9" ht="14.25" customHeight="1" x14ac:dyDescent="0.3">
      <c r="A47" s="8">
        <v>43954</v>
      </c>
      <c r="B47" s="9" t="s">
        <v>11</v>
      </c>
      <c r="C47" s="9">
        <v>77263.5</v>
      </c>
      <c r="D47" s="9">
        <v>7013670</v>
      </c>
      <c r="E47" s="7">
        <f>SUMIFS(Лист2!C:C,Лист2!B:B,Лист1!B47,Лист2!A:A,Лист1!A47)</f>
        <v>31</v>
      </c>
      <c r="F47" s="7">
        <f>SUMIFS(Лист2!$D:$D,Лист2!$B:$B,Лист1!$B47,Лист2!$A:$A,Лист1!$A47)</f>
        <v>5155</v>
      </c>
      <c r="G47" s="7">
        <f>SUMIFS(Лист2!$E:$E,Лист2!$B:$B,Лист1!$B47,Лист2!$A:$A,Лист1!$A47)</f>
        <v>4762</v>
      </c>
      <c r="H47" s="14">
        <f t="shared" si="0"/>
        <v>226247.4193548387</v>
      </c>
      <c r="I47">
        <f t="shared" si="1"/>
        <v>18</v>
      </c>
    </row>
    <row r="48" spans="1:9" ht="14.25" customHeight="1" x14ac:dyDescent="0.3">
      <c r="A48" s="5">
        <v>43957</v>
      </c>
      <c r="B48" s="6" t="s">
        <v>11</v>
      </c>
      <c r="C48" s="6">
        <v>68994</v>
      </c>
      <c r="D48" s="6">
        <v>6168657</v>
      </c>
      <c r="E48" s="7">
        <f>SUMIFS(Лист2!C:C,Лист2!B:B,Лист1!B48,Лист2!A:A,Лист1!A48)</f>
        <v>31</v>
      </c>
      <c r="F48" s="7">
        <f>SUMIFS(Лист2!$D:$D,Лист2!$B:$B,Лист1!$B48,Лист2!$A:$A,Лист1!$A48)</f>
        <v>4709</v>
      </c>
      <c r="G48" s="7">
        <f>SUMIFS(Лист2!$E:$E,Лист2!$B:$B,Лист1!$B48,Лист2!$A:$A,Лист1!$A48)</f>
        <v>4348</v>
      </c>
      <c r="H48" s="14">
        <f t="shared" si="0"/>
        <v>198988.93548387097</v>
      </c>
      <c r="I48">
        <f t="shared" si="1"/>
        <v>19</v>
      </c>
    </row>
    <row r="49" spans="1:9" ht="14.25" customHeight="1" x14ac:dyDescent="0.3">
      <c r="A49" s="8">
        <v>43974</v>
      </c>
      <c r="B49" s="9" t="s">
        <v>11</v>
      </c>
      <c r="C49" s="9">
        <v>102889.5</v>
      </c>
      <c r="D49" s="9">
        <v>8089143</v>
      </c>
      <c r="E49" s="7">
        <f>SUMIFS(Лист2!C:C,Лист2!B:B,Лист1!B49,Лист2!A:A,Лист1!A49)</f>
        <v>31</v>
      </c>
      <c r="F49" s="7">
        <f>SUMIFS(Лист2!$D:$D,Лист2!$B:$B,Лист1!$B49,Лист2!$A:$A,Лист1!$A49)</f>
        <v>6276</v>
      </c>
      <c r="G49" s="7">
        <f>SUMIFS(Лист2!$E:$E,Лист2!$B:$B,Лист1!$B49,Лист2!$A:$A,Лист1!$A49)</f>
        <v>5801</v>
      </c>
      <c r="H49" s="14">
        <f t="shared" si="0"/>
        <v>260940.09677419355</v>
      </c>
      <c r="I49">
        <f t="shared" si="1"/>
        <v>21</v>
      </c>
    </row>
    <row r="50" spans="1:9" ht="14.25" customHeight="1" x14ac:dyDescent="0.3">
      <c r="A50" s="5">
        <v>43976</v>
      </c>
      <c r="B50" s="6" t="s">
        <v>11</v>
      </c>
      <c r="C50" s="6">
        <v>76999.5</v>
      </c>
      <c r="D50" s="6">
        <v>6645603</v>
      </c>
      <c r="E50" s="7">
        <f>SUMIFS(Лист2!C:C,Лист2!B:B,Лист1!B50,Лист2!A:A,Лист1!A50)</f>
        <v>31</v>
      </c>
      <c r="F50" s="7">
        <f>SUMIFS(Лист2!$D:$D,Лист2!$B:$B,Лист1!$B50,Лист2!$A:$A,Лист1!$A50)</f>
        <v>5210</v>
      </c>
      <c r="G50" s="7">
        <f>SUMIFS(Лист2!$E:$E,Лист2!$B:$B,Лист1!$B50,Лист2!$A:$A,Лист1!$A50)</f>
        <v>4841</v>
      </c>
      <c r="H50" s="14">
        <f t="shared" si="0"/>
        <v>214374.29032258064</v>
      </c>
      <c r="I50">
        <f t="shared" si="1"/>
        <v>22</v>
      </c>
    </row>
    <row r="51" spans="1:9" ht="14.25" customHeight="1" x14ac:dyDescent="0.3">
      <c r="A51" s="8">
        <v>43951</v>
      </c>
      <c r="B51" s="9" t="s">
        <v>11</v>
      </c>
      <c r="C51" s="9">
        <v>77565</v>
      </c>
      <c r="D51" s="9">
        <v>7023727.5</v>
      </c>
      <c r="E51" s="7">
        <f>SUMIFS(Лист2!C:C,Лист2!B:B,Лист1!B51,Лист2!A:A,Лист1!A51)</f>
        <v>31</v>
      </c>
      <c r="F51" s="7">
        <f>SUMIFS(Лист2!$D:$D,Лист2!$B:$B,Лист1!$B51,Лист2!$A:$A,Лист1!$A51)</f>
        <v>5120</v>
      </c>
      <c r="G51" s="7">
        <f>SUMIFS(Лист2!$E:$E,Лист2!$B:$B,Лист1!$B51,Лист2!$A:$A,Лист1!$A51)</f>
        <v>4737</v>
      </c>
      <c r="H51" s="14">
        <f t="shared" si="0"/>
        <v>226571.85483870967</v>
      </c>
      <c r="I51">
        <f t="shared" si="1"/>
        <v>18</v>
      </c>
    </row>
    <row r="52" spans="1:9" ht="14.25" customHeight="1" x14ac:dyDescent="0.3">
      <c r="A52" s="5">
        <v>43961</v>
      </c>
      <c r="B52" s="6" t="s">
        <v>11</v>
      </c>
      <c r="C52" s="6">
        <v>84132</v>
      </c>
      <c r="D52" s="6">
        <v>7483194</v>
      </c>
      <c r="E52" s="7">
        <f>SUMIFS(Лист2!C:C,Лист2!B:B,Лист1!B52,Лист2!A:A,Лист1!A52)</f>
        <v>31</v>
      </c>
      <c r="F52" s="7">
        <f>SUMIFS(Лист2!$D:$D,Лист2!$B:$B,Лист1!$B52,Лист2!$A:$A,Лист1!$A52)</f>
        <v>5495</v>
      </c>
      <c r="G52" s="7">
        <f>SUMIFS(Лист2!$E:$E,Лист2!$B:$B,Лист1!$B52,Лист2!$A:$A,Лист1!$A52)</f>
        <v>5093</v>
      </c>
      <c r="H52" s="14">
        <f t="shared" si="0"/>
        <v>241393.35483870967</v>
      </c>
      <c r="I52">
        <f t="shared" si="1"/>
        <v>19</v>
      </c>
    </row>
    <row r="53" spans="1:9" ht="14.25" customHeight="1" x14ac:dyDescent="0.3">
      <c r="A53" s="8">
        <v>43959</v>
      </c>
      <c r="B53" s="9" t="s">
        <v>11</v>
      </c>
      <c r="C53" s="9">
        <v>69544.5</v>
      </c>
      <c r="D53" s="9">
        <v>6293776.5</v>
      </c>
      <c r="E53" s="7">
        <f>SUMIFS(Лист2!C:C,Лист2!B:B,Лист1!B53,Лист2!A:A,Лист1!A53)</f>
        <v>31</v>
      </c>
      <c r="F53" s="7">
        <f>SUMIFS(Лист2!$D:$D,Лист2!$B:$B,Лист1!$B53,Лист2!$A:$A,Лист1!$A53)</f>
        <v>4635</v>
      </c>
      <c r="G53" s="7">
        <f>SUMIFS(Лист2!$E:$E,Лист2!$B:$B,Лист1!$B53,Лист2!$A:$A,Лист1!$A53)</f>
        <v>4266</v>
      </c>
      <c r="H53" s="14">
        <f t="shared" si="0"/>
        <v>203025.04838709679</v>
      </c>
      <c r="I53">
        <f t="shared" si="1"/>
        <v>19</v>
      </c>
    </row>
    <row r="54" spans="1:9" ht="14.25" customHeight="1" x14ac:dyDescent="0.3">
      <c r="A54" s="5">
        <v>43958</v>
      </c>
      <c r="B54" s="6" t="s">
        <v>11</v>
      </c>
      <c r="C54" s="6">
        <v>73204.5</v>
      </c>
      <c r="D54" s="6">
        <v>6591883.5</v>
      </c>
      <c r="E54" s="7">
        <f>SUMIFS(Лист2!C:C,Лист2!B:B,Лист1!B54,Лист2!A:A,Лист1!A54)</f>
        <v>31</v>
      </c>
      <c r="F54" s="7">
        <f>SUMIFS(Лист2!$D:$D,Лист2!$B:$B,Лист1!$B54,Лист2!$A:$A,Лист1!$A54)</f>
        <v>4903</v>
      </c>
      <c r="G54" s="7">
        <f>SUMIFS(Лист2!$E:$E,Лист2!$B:$B,Лист1!$B54,Лист2!$A:$A,Лист1!$A54)</f>
        <v>4527</v>
      </c>
      <c r="H54" s="14">
        <f t="shared" si="0"/>
        <v>212641.40322580645</v>
      </c>
      <c r="I54">
        <f t="shared" si="1"/>
        <v>19</v>
      </c>
    </row>
    <row r="55" spans="1:9" ht="14.25" customHeight="1" x14ac:dyDescent="0.3">
      <c r="A55" s="8">
        <v>43975</v>
      </c>
      <c r="B55" s="9" t="s">
        <v>11</v>
      </c>
      <c r="C55" s="9">
        <v>76663.5</v>
      </c>
      <c r="D55" s="9">
        <v>6451032</v>
      </c>
      <c r="E55" s="7">
        <f>SUMIFS(Лист2!C:C,Лист2!B:B,Лист1!B55,Лист2!A:A,Лист1!A55)</f>
        <v>31</v>
      </c>
      <c r="F55" s="7">
        <f>SUMIFS(Лист2!$D:$D,Лист2!$B:$B,Лист1!$B55,Лист2!$A:$A,Лист1!$A55)</f>
        <v>5035</v>
      </c>
      <c r="G55" s="7">
        <f>SUMIFS(Лист2!$E:$E,Лист2!$B:$B,Лист1!$B55,Лист2!$A:$A,Лист1!$A55)</f>
        <v>4683</v>
      </c>
      <c r="H55" s="14">
        <f t="shared" si="0"/>
        <v>208097.80645161291</v>
      </c>
      <c r="I55">
        <f t="shared" si="1"/>
        <v>21</v>
      </c>
    </row>
    <row r="56" spans="1:9" ht="14.25" customHeight="1" x14ac:dyDescent="0.3">
      <c r="A56" s="5">
        <v>43967</v>
      </c>
      <c r="B56" s="6" t="s">
        <v>12</v>
      </c>
      <c r="C56" s="6">
        <v>14265</v>
      </c>
      <c r="D56" s="6">
        <v>1130506.5</v>
      </c>
      <c r="E56" s="7">
        <f>SUMIFS(Лист2!C:C,Лист2!B:B,Лист1!B56,Лист2!A:A,Лист1!A56)</f>
        <v>10</v>
      </c>
      <c r="F56" s="7">
        <f>SUMIFS(Лист2!$D:$D,Лист2!$B:$B,Лист1!$B56,Лист2!$A:$A,Лист1!$A56)</f>
        <v>760</v>
      </c>
      <c r="G56" s="7">
        <f>SUMIFS(Лист2!$E:$E,Лист2!$B:$B,Лист1!$B56,Лист2!$A:$A,Лист1!$A56)</f>
        <v>672</v>
      </c>
      <c r="H56" s="14">
        <f t="shared" si="0"/>
        <v>113050.65</v>
      </c>
      <c r="I56">
        <f t="shared" si="1"/>
        <v>20</v>
      </c>
    </row>
    <row r="57" spans="1:9" ht="14.25" customHeight="1" x14ac:dyDescent="0.3">
      <c r="A57" s="8">
        <v>43970</v>
      </c>
      <c r="B57" s="9" t="s">
        <v>12</v>
      </c>
      <c r="C57" s="9">
        <v>11526</v>
      </c>
      <c r="D57" s="9">
        <v>938764.5</v>
      </c>
      <c r="E57" s="7">
        <f>SUMIFS(Лист2!C:C,Лист2!B:B,Лист1!B57,Лист2!A:A,Лист1!A57)</f>
        <v>10</v>
      </c>
      <c r="F57" s="7">
        <f>SUMIFS(Лист2!$D:$D,Лист2!$B:$B,Лист1!$B57,Лист2!$A:$A,Лист1!$A57)</f>
        <v>649</v>
      </c>
      <c r="G57" s="7">
        <f>SUMIFS(Лист2!$E:$E,Лист2!$B:$B,Лист1!$B57,Лист2!$A:$A,Лист1!$A57)</f>
        <v>568</v>
      </c>
      <c r="H57" s="14">
        <f t="shared" si="0"/>
        <v>93876.45</v>
      </c>
      <c r="I57">
        <f t="shared" si="1"/>
        <v>21</v>
      </c>
    </row>
    <row r="58" spans="1:9" ht="14.25" customHeight="1" x14ac:dyDescent="0.3">
      <c r="A58" s="5">
        <v>43968</v>
      </c>
      <c r="B58" s="6" t="s">
        <v>12</v>
      </c>
      <c r="C58" s="6">
        <v>10402.5</v>
      </c>
      <c r="D58" s="6">
        <v>843727.5</v>
      </c>
      <c r="E58" s="7">
        <f>SUMIFS(Лист2!C:C,Лист2!B:B,Лист1!B58,Лист2!A:A,Лист1!A58)</f>
        <v>10</v>
      </c>
      <c r="F58" s="7">
        <f>SUMIFS(Лист2!$D:$D,Лист2!$B:$B,Лист1!$B58,Лист2!$A:$A,Лист1!$A58)</f>
        <v>591</v>
      </c>
      <c r="G58" s="7">
        <f>SUMIFS(Лист2!$E:$E,Лист2!$B:$B,Лист1!$B58,Лист2!$A:$A,Лист1!$A58)</f>
        <v>513</v>
      </c>
      <c r="H58" s="14">
        <f t="shared" si="0"/>
        <v>84372.75</v>
      </c>
      <c r="I58">
        <f t="shared" si="1"/>
        <v>20</v>
      </c>
    </row>
    <row r="59" spans="1:9" ht="14.25" customHeight="1" x14ac:dyDescent="0.3">
      <c r="A59" s="8">
        <v>43960</v>
      </c>
      <c r="B59" s="9" t="s">
        <v>12</v>
      </c>
      <c r="C59" s="9">
        <v>13216.5</v>
      </c>
      <c r="D59" s="9">
        <v>1046400</v>
      </c>
      <c r="E59" s="7">
        <f>SUMIFS(Лист2!C:C,Лист2!B:B,Лист1!B59,Лист2!A:A,Лист1!A59)</f>
        <v>10</v>
      </c>
      <c r="F59" s="7">
        <f>SUMIFS(Лист2!$D:$D,Лист2!$B:$B,Лист1!$B59,Лист2!$A:$A,Лист1!$A59)</f>
        <v>644</v>
      </c>
      <c r="G59" s="7">
        <f>SUMIFS(Лист2!$E:$E,Лист2!$B:$B,Лист1!$B59,Лист2!$A:$A,Лист1!$A59)</f>
        <v>559</v>
      </c>
      <c r="H59" s="14">
        <f t="shared" si="0"/>
        <v>104640</v>
      </c>
      <c r="I59">
        <f t="shared" si="1"/>
        <v>19</v>
      </c>
    </row>
    <row r="60" spans="1:9" ht="14.25" customHeight="1" x14ac:dyDescent="0.3">
      <c r="A60" s="5">
        <v>43955</v>
      </c>
      <c r="B60" s="6" t="s">
        <v>12</v>
      </c>
      <c r="C60" s="6">
        <v>9130.5</v>
      </c>
      <c r="D60" s="6">
        <v>728890.5</v>
      </c>
      <c r="E60" s="7">
        <f>SUMIFS(Лист2!C:C,Лист2!B:B,Лист1!B60,Лист2!A:A,Лист1!A60)</f>
        <v>10</v>
      </c>
      <c r="F60" s="7">
        <f>SUMIFS(Лист2!$D:$D,Лист2!$B:$B,Лист1!$B60,Лист2!$A:$A,Лист1!$A60)</f>
        <v>462</v>
      </c>
      <c r="G60" s="7">
        <f>SUMIFS(Лист2!$E:$E,Лист2!$B:$B,Лист1!$B60,Лист2!$A:$A,Лист1!$A60)</f>
        <v>396</v>
      </c>
      <c r="H60" s="14">
        <f t="shared" si="0"/>
        <v>72889.05</v>
      </c>
      <c r="I60">
        <f t="shared" si="1"/>
        <v>19</v>
      </c>
    </row>
    <row r="61" spans="1:9" ht="14.25" customHeight="1" x14ac:dyDescent="0.3">
      <c r="A61" s="8">
        <v>43950</v>
      </c>
      <c r="B61" s="9" t="s">
        <v>12</v>
      </c>
      <c r="C61" s="9">
        <v>10840.5</v>
      </c>
      <c r="D61" s="9">
        <v>797919</v>
      </c>
      <c r="E61" s="7">
        <f>SUMIFS(Лист2!C:C,Лист2!B:B,Лист1!B61,Лист2!A:A,Лист1!A61)</f>
        <v>10</v>
      </c>
      <c r="F61" s="7">
        <f>SUMIFS(Лист2!$D:$D,Лист2!$B:$B,Лист1!$B61,Лист2!$A:$A,Лист1!$A61)</f>
        <v>502</v>
      </c>
      <c r="G61" s="7">
        <f>SUMIFS(Лист2!$E:$E,Лист2!$B:$B,Лист1!$B61,Лист2!$A:$A,Лист1!$A61)</f>
        <v>433</v>
      </c>
      <c r="H61" s="14">
        <f t="shared" si="0"/>
        <v>79791.899999999994</v>
      </c>
      <c r="I61">
        <f t="shared" si="1"/>
        <v>18</v>
      </c>
    </row>
    <row r="62" spans="1:9" ht="14.25" customHeight="1" x14ac:dyDescent="0.3">
      <c r="A62" s="5">
        <v>43953</v>
      </c>
      <c r="B62" s="6" t="s">
        <v>12</v>
      </c>
      <c r="C62" s="6">
        <v>7866</v>
      </c>
      <c r="D62" s="6">
        <v>617881.5</v>
      </c>
      <c r="E62" s="7">
        <f>SUMIFS(Лист2!C:C,Лист2!B:B,Лист1!B62,Лист2!A:A,Лист1!A62)</f>
        <v>10</v>
      </c>
      <c r="F62" s="7">
        <f>SUMIFS(Лист2!$D:$D,Лист2!$B:$B,Лист1!$B62,Лист2!$A:$A,Лист1!$A62)</f>
        <v>416</v>
      </c>
      <c r="G62" s="7">
        <f>SUMIFS(Лист2!$E:$E,Лист2!$B:$B,Лист1!$B62,Лист2!$A:$A,Лист1!$A62)</f>
        <v>341</v>
      </c>
      <c r="H62" s="14">
        <f t="shared" si="0"/>
        <v>61788.15</v>
      </c>
      <c r="I62">
        <f t="shared" si="1"/>
        <v>18</v>
      </c>
    </row>
    <row r="63" spans="1:9" ht="14.25" customHeight="1" x14ac:dyDescent="0.3">
      <c r="A63" s="8">
        <v>43977</v>
      </c>
      <c r="B63" s="9" t="s">
        <v>12</v>
      </c>
      <c r="C63" s="9">
        <v>11835</v>
      </c>
      <c r="D63" s="9">
        <v>983109</v>
      </c>
      <c r="E63" s="7">
        <f>SUMIFS(Лист2!C:C,Лист2!B:B,Лист1!B63,Лист2!A:A,Лист1!A63)</f>
        <v>10</v>
      </c>
      <c r="F63" s="7">
        <f>SUMIFS(Лист2!$D:$D,Лист2!$B:$B,Лист1!$B63,Лист2!$A:$A,Лист1!$A63)</f>
        <v>692</v>
      </c>
      <c r="G63" s="7">
        <f>SUMIFS(Лист2!$E:$E,Лист2!$B:$B,Лист1!$B63,Лист2!$A:$A,Лист1!$A63)</f>
        <v>601</v>
      </c>
      <c r="H63" s="14">
        <f t="shared" si="0"/>
        <v>98310.9</v>
      </c>
      <c r="I63">
        <f t="shared" si="1"/>
        <v>22</v>
      </c>
    </row>
    <row r="64" spans="1:9" ht="14.25" customHeight="1" x14ac:dyDescent="0.3">
      <c r="A64" s="5">
        <v>43952</v>
      </c>
      <c r="B64" s="6" t="s">
        <v>12</v>
      </c>
      <c r="C64" s="6">
        <v>11619</v>
      </c>
      <c r="D64" s="6">
        <v>891139.5</v>
      </c>
      <c r="E64" s="7">
        <f>SUMIFS(Лист2!C:C,Лист2!B:B,Лист1!B64,Лист2!A:A,Лист1!A64)</f>
        <v>10</v>
      </c>
      <c r="F64" s="7">
        <f>SUMIFS(Лист2!$D:$D,Лист2!$B:$B,Лист1!$B64,Лист2!$A:$A,Лист1!$A64)</f>
        <v>554</v>
      </c>
      <c r="G64" s="7">
        <f>SUMIFS(Лист2!$E:$E,Лист2!$B:$B,Лист1!$B64,Лист2!$A:$A,Лист1!$A64)</f>
        <v>472</v>
      </c>
      <c r="H64" s="14">
        <f t="shared" si="0"/>
        <v>89113.95</v>
      </c>
      <c r="I64">
        <f t="shared" si="1"/>
        <v>18</v>
      </c>
    </row>
    <row r="65" spans="1:9" ht="14.25" customHeight="1" x14ac:dyDescent="0.3">
      <c r="A65" s="8">
        <v>43963</v>
      </c>
      <c r="B65" s="9" t="s">
        <v>12</v>
      </c>
      <c r="C65" s="9">
        <v>9328.5</v>
      </c>
      <c r="D65" s="9">
        <v>732964.5</v>
      </c>
      <c r="E65" s="7">
        <f>SUMIFS(Лист2!C:C,Лист2!B:B,Лист1!B65,Лист2!A:A,Лист1!A65)</f>
        <v>10</v>
      </c>
      <c r="F65" s="7">
        <f>SUMIFS(Лист2!$D:$D,Лист2!$B:$B,Лист1!$B65,Лист2!$A:$A,Лист1!$A65)</f>
        <v>526</v>
      </c>
      <c r="G65" s="7">
        <f>SUMIFS(Лист2!$E:$E,Лист2!$B:$B,Лист1!$B65,Лист2!$A:$A,Лист1!$A65)</f>
        <v>448</v>
      </c>
      <c r="H65" s="14">
        <f t="shared" si="0"/>
        <v>73296.45</v>
      </c>
      <c r="I65">
        <f t="shared" si="1"/>
        <v>20</v>
      </c>
    </row>
    <row r="66" spans="1:9" ht="14.25" customHeight="1" x14ac:dyDescent="0.3">
      <c r="A66" s="5">
        <v>43972</v>
      </c>
      <c r="B66" s="6" t="s">
        <v>12</v>
      </c>
      <c r="C66" s="6">
        <v>11250</v>
      </c>
      <c r="D66" s="6">
        <v>935523</v>
      </c>
      <c r="E66" s="7">
        <f>SUMIFS(Лист2!C:C,Лист2!B:B,Лист1!B66,Лист2!A:A,Лист1!A66)</f>
        <v>10</v>
      </c>
      <c r="F66" s="7">
        <f>SUMIFS(Лист2!$D:$D,Лист2!$B:$B,Лист1!$B66,Лист2!$A:$A,Лист1!$A66)</f>
        <v>677</v>
      </c>
      <c r="G66" s="7">
        <f>SUMIFS(Лист2!$E:$E,Лист2!$B:$B,Лист1!$B66,Лист2!$A:$A,Лист1!$A66)</f>
        <v>591</v>
      </c>
      <c r="H66" s="14">
        <f t="shared" si="0"/>
        <v>93552.3</v>
      </c>
      <c r="I66">
        <f t="shared" si="1"/>
        <v>21</v>
      </c>
    </row>
    <row r="67" spans="1:9" ht="14.25" customHeight="1" x14ac:dyDescent="0.3">
      <c r="A67" s="8">
        <v>43971</v>
      </c>
      <c r="B67" s="9" t="s">
        <v>12</v>
      </c>
      <c r="C67" s="9">
        <v>13063.5</v>
      </c>
      <c r="D67" s="9">
        <v>1037247</v>
      </c>
      <c r="E67" s="7">
        <f>SUMIFS(Лист2!C:C,Лист2!B:B,Лист1!B67,Лист2!A:A,Лист1!A67)</f>
        <v>10</v>
      </c>
      <c r="F67" s="7">
        <f>SUMIFS(Лист2!$D:$D,Лист2!$B:$B,Лист1!$B67,Лист2!$A:$A,Лист1!$A67)</f>
        <v>745</v>
      </c>
      <c r="G67" s="7">
        <f>SUMIFS(Лист2!$E:$E,Лист2!$B:$B,Лист1!$B67,Лист2!$A:$A,Лист1!$A67)</f>
        <v>654</v>
      </c>
      <c r="H67" s="14">
        <f t="shared" ref="H67:H130" si="2">D67/E67</f>
        <v>103724.7</v>
      </c>
      <c r="I67">
        <f t="shared" ref="I67:I130" si="3">WEEKNUM(A67,2)</f>
        <v>21</v>
      </c>
    </row>
    <row r="68" spans="1:9" ht="14.25" customHeight="1" x14ac:dyDescent="0.3">
      <c r="A68" s="5">
        <v>43956</v>
      </c>
      <c r="B68" s="6" t="s">
        <v>12</v>
      </c>
      <c r="C68" s="6">
        <v>10147.5</v>
      </c>
      <c r="D68" s="6">
        <v>793320</v>
      </c>
      <c r="E68" s="7">
        <f>SUMIFS(Лист2!C:C,Лист2!B:B,Лист1!B68,Лист2!A:A,Лист1!A68)</f>
        <v>10</v>
      </c>
      <c r="F68" s="7">
        <f>SUMIFS(Лист2!$D:$D,Лист2!$B:$B,Лист1!$B68,Лист2!$A:$A,Лист1!$A68)</f>
        <v>511</v>
      </c>
      <c r="G68" s="7">
        <f>SUMIFS(Лист2!$E:$E,Лист2!$B:$B,Лист1!$B68,Лист2!$A:$A,Лист1!$A68)</f>
        <v>437</v>
      </c>
      <c r="H68" s="14">
        <f t="shared" si="2"/>
        <v>79332</v>
      </c>
      <c r="I68">
        <f t="shared" si="3"/>
        <v>19</v>
      </c>
    </row>
    <row r="69" spans="1:9" ht="14.25" customHeight="1" x14ac:dyDescent="0.3">
      <c r="A69" s="8">
        <v>43949</v>
      </c>
      <c r="B69" s="9" t="s">
        <v>12</v>
      </c>
      <c r="C69" s="9">
        <v>12331.5</v>
      </c>
      <c r="D69" s="9">
        <v>869983.5</v>
      </c>
      <c r="E69" s="7">
        <f>SUMIFS(Лист2!C:C,Лист2!B:B,Лист1!B69,Лист2!A:A,Лист1!A69)</f>
        <v>10</v>
      </c>
      <c r="F69" s="7">
        <f>SUMIFS(Лист2!$D:$D,Лист2!$B:$B,Лист1!$B69,Лист2!$A:$A,Лист1!$A69)</f>
        <v>580</v>
      </c>
      <c r="G69" s="7">
        <f>SUMIFS(Лист2!$E:$E,Лист2!$B:$B,Лист1!$B69,Лист2!$A:$A,Лист1!$A69)</f>
        <v>506</v>
      </c>
      <c r="H69" s="14">
        <f t="shared" si="2"/>
        <v>86998.35</v>
      </c>
      <c r="I69">
        <f t="shared" si="3"/>
        <v>18</v>
      </c>
    </row>
    <row r="70" spans="1:9" ht="14.25" customHeight="1" x14ac:dyDescent="0.3">
      <c r="A70" s="5">
        <v>43964</v>
      </c>
      <c r="B70" s="6" t="s">
        <v>12</v>
      </c>
      <c r="C70" s="6">
        <v>11202</v>
      </c>
      <c r="D70" s="6">
        <v>865714.5</v>
      </c>
      <c r="E70" s="7">
        <f>SUMIFS(Лист2!C:C,Лист2!B:B,Лист1!B70,Лист2!A:A,Лист1!A70)</f>
        <v>10</v>
      </c>
      <c r="F70" s="7">
        <f>SUMIFS(Лист2!$D:$D,Лист2!$B:$B,Лист1!$B70,Лист2!$A:$A,Лист1!$A70)</f>
        <v>612</v>
      </c>
      <c r="G70" s="7">
        <f>SUMIFS(Лист2!$E:$E,Лист2!$B:$B,Лист1!$B70,Лист2!$A:$A,Лист1!$A70)</f>
        <v>530</v>
      </c>
      <c r="H70" s="14">
        <f t="shared" si="2"/>
        <v>86571.45</v>
      </c>
      <c r="I70">
        <f t="shared" si="3"/>
        <v>20</v>
      </c>
    </row>
    <row r="71" spans="1:9" ht="14.25" customHeight="1" x14ac:dyDescent="0.3">
      <c r="A71" s="8">
        <v>43982</v>
      </c>
      <c r="B71" s="9" t="s">
        <v>11</v>
      </c>
      <c r="C71" s="9">
        <v>89149.5</v>
      </c>
      <c r="D71" s="9">
        <v>7512646.5</v>
      </c>
      <c r="E71" s="7">
        <f>SUMIFS(Лист2!C:C,Лист2!B:B,Лист1!B71,Лист2!A:A,Лист1!A71)</f>
        <v>31</v>
      </c>
      <c r="F71" s="7">
        <f>SUMIFS(Лист2!$D:$D,Лист2!$B:$B,Лист1!$B71,Лист2!$A:$A,Лист1!$A71)</f>
        <v>5760</v>
      </c>
      <c r="G71" s="7">
        <f>SUMIFS(Лист2!$E:$E,Лист2!$B:$B,Лист1!$B71,Лист2!$A:$A,Лист1!$A71)</f>
        <v>5367</v>
      </c>
      <c r="H71" s="14">
        <f t="shared" si="2"/>
        <v>242343.43548387097</v>
      </c>
      <c r="I71">
        <f t="shared" si="3"/>
        <v>22</v>
      </c>
    </row>
    <row r="72" spans="1:9" ht="14.25" customHeight="1" x14ac:dyDescent="0.3">
      <c r="A72" s="5">
        <v>43954</v>
      </c>
      <c r="B72" s="6" t="s">
        <v>12</v>
      </c>
      <c r="C72" s="6">
        <v>8185.5</v>
      </c>
      <c r="D72" s="6">
        <v>637881</v>
      </c>
      <c r="E72" s="7">
        <f>SUMIFS(Лист2!C:C,Лист2!B:B,Лист1!B72,Лист2!A:A,Лист1!A72)</f>
        <v>10</v>
      </c>
      <c r="F72" s="7">
        <f>SUMIFS(Лист2!$D:$D,Лист2!$B:$B,Лист1!$B72,Лист2!$A:$A,Лист1!$A72)</f>
        <v>402</v>
      </c>
      <c r="G72" s="7">
        <f>SUMIFS(Лист2!$E:$E,Лист2!$B:$B,Лист1!$B72,Лист2!$A:$A,Лист1!$A72)</f>
        <v>333</v>
      </c>
      <c r="H72" s="14">
        <f t="shared" si="2"/>
        <v>63788.1</v>
      </c>
      <c r="I72">
        <f t="shared" si="3"/>
        <v>18</v>
      </c>
    </row>
    <row r="73" spans="1:9" ht="14.25" customHeight="1" x14ac:dyDescent="0.3">
      <c r="A73" s="8">
        <v>43981</v>
      </c>
      <c r="B73" s="9" t="s">
        <v>11</v>
      </c>
      <c r="C73" s="9">
        <v>108123</v>
      </c>
      <c r="D73" s="9">
        <v>9164707.5</v>
      </c>
      <c r="E73" s="7">
        <f>SUMIFS(Лист2!C:C,Лист2!B:B,Лист1!B73,Лист2!A:A,Лист1!A73)</f>
        <v>31</v>
      </c>
      <c r="F73" s="7">
        <f>SUMIFS(Лист2!$D:$D,Лист2!$B:$B,Лист1!$B73,Лист2!$A:$A,Лист1!$A73)</f>
        <v>6735</v>
      </c>
      <c r="G73" s="7">
        <f>SUMIFS(Лист2!$E:$E,Лист2!$B:$B,Лист1!$B73,Лист2!$A:$A,Лист1!$A73)</f>
        <v>6264</v>
      </c>
      <c r="H73" s="14">
        <f t="shared" si="2"/>
        <v>295635.72580645164</v>
      </c>
      <c r="I73">
        <f t="shared" si="3"/>
        <v>22</v>
      </c>
    </row>
    <row r="74" spans="1:9" ht="14.25" customHeight="1" x14ac:dyDescent="0.3">
      <c r="A74" s="5">
        <v>43957</v>
      </c>
      <c r="B74" s="6" t="s">
        <v>12</v>
      </c>
      <c r="C74" s="6">
        <v>9210</v>
      </c>
      <c r="D74" s="6">
        <v>696832.5</v>
      </c>
      <c r="E74" s="7">
        <f>SUMIFS(Лист2!C:C,Лист2!B:B,Лист1!B74,Лист2!A:A,Лист1!A74)</f>
        <v>10</v>
      </c>
      <c r="F74" s="7">
        <f>SUMIFS(Лист2!$D:$D,Лист2!$B:$B,Лист1!$B74,Лист2!$A:$A,Лист1!$A74)</f>
        <v>465</v>
      </c>
      <c r="G74" s="7">
        <f>SUMIFS(Лист2!$E:$E,Лист2!$B:$B,Лист1!$B74,Лист2!$A:$A,Лист1!$A74)</f>
        <v>390</v>
      </c>
      <c r="H74" s="14">
        <f t="shared" si="2"/>
        <v>69683.25</v>
      </c>
      <c r="I74">
        <f t="shared" si="3"/>
        <v>19</v>
      </c>
    </row>
    <row r="75" spans="1:9" ht="14.25" customHeight="1" x14ac:dyDescent="0.3">
      <c r="A75" s="8">
        <v>43974</v>
      </c>
      <c r="B75" s="9" t="s">
        <v>12</v>
      </c>
      <c r="C75" s="9">
        <v>14773.5</v>
      </c>
      <c r="D75" s="9">
        <v>1241383.5</v>
      </c>
      <c r="E75" s="7">
        <f>SUMIFS(Лист2!C:C,Лист2!B:B,Лист1!B75,Лист2!A:A,Лист1!A75)</f>
        <v>10</v>
      </c>
      <c r="F75" s="7">
        <f>SUMIFS(Лист2!$D:$D,Лист2!$B:$B,Лист1!$B75,Лист2!$A:$A,Лист1!$A75)</f>
        <v>828</v>
      </c>
      <c r="G75" s="7">
        <f>SUMIFS(Лист2!$E:$E,Лист2!$B:$B,Лист1!$B75,Лист2!$A:$A,Лист1!$A75)</f>
        <v>734</v>
      </c>
      <c r="H75" s="14">
        <f t="shared" si="2"/>
        <v>124138.35</v>
      </c>
      <c r="I75">
        <f t="shared" si="3"/>
        <v>21</v>
      </c>
    </row>
    <row r="76" spans="1:9" ht="14.25" customHeight="1" x14ac:dyDescent="0.3">
      <c r="A76" s="5">
        <v>43979</v>
      </c>
      <c r="B76" s="6" t="s">
        <v>11</v>
      </c>
      <c r="C76" s="6">
        <v>78141</v>
      </c>
      <c r="D76" s="6">
        <v>6641569.5</v>
      </c>
      <c r="E76" s="7">
        <f>SUMIFS(Лист2!C:C,Лист2!B:B,Лист1!B76,Лист2!A:A,Лист1!A76)</f>
        <v>31</v>
      </c>
      <c r="F76" s="7">
        <f>SUMIFS(Лист2!$D:$D,Лист2!$B:$B,Лист1!$B76,Лист2!$A:$A,Лист1!$A76)</f>
        <v>5355</v>
      </c>
      <c r="G76" s="7">
        <f>SUMIFS(Лист2!$E:$E,Лист2!$B:$B,Лист1!$B76,Лист2!$A:$A,Лист1!$A76)</f>
        <v>4969</v>
      </c>
      <c r="H76" s="14">
        <f t="shared" si="2"/>
        <v>214244.17741935485</v>
      </c>
      <c r="I76">
        <f t="shared" si="3"/>
        <v>22</v>
      </c>
    </row>
    <row r="77" spans="1:9" ht="14.25" customHeight="1" x14ac:dyDescent="0.3">
      <c r="A77" s="8">
        <v>43976</v>
      </c>
      <c r="B77" s="9" t="s">
        <v>12</v>
      </c>
      <c r="C77" s="9">
        <v>12280.5</v>
      </c>
      <c r="D77" s="9">
        <v>1030440</v>
      </c>
      <c r="E77" s="7">
        <f>SUMIFS(Лист2!C:C,Лист2!B:B,Лист1!B77,Лист2!A:A,Лист1!A77)</f>
        <v>10</v>
      </c>
      <c r="F77" s="7">
        <f>SUMIFS(Лист2!$D:$D,Лист2!$B:$B,Лист1!$B77,Лист2!$A:$A,Лист1!$A77)</f>
        <v>739</v>
      </c>
      <c r="G77" s="7">
        <f>SUMIFS(Лист2!$E:$E,Лист2!$B:$B,Лист1!$B77,Лист2!$A:$A,Лист1!$A77)</f>
        <v>642</v>
      </c>
      <c r="H77" s="14">
        <f t="shared" si="2"/>
        <v>103044</v>
      </c>
      <c r="I77">
        <f t="shared" si="3"/>
        <v>22</v>
      </c>
    </row>
    <row r="78" spans="1:9" ht="14.25" customHeight="1" x14ac:dyDescent="0.3">
      <c r="A78" s="5">
        <v>43951</v>
      </c>
      <c r="B78" s="6" t="s">
        <v>12</v>
      </c>
      <c r="C78" s="6">
        <v>8934</v>
      </c>
      <c r="D78" s="6">
        <v>716196</v>
      </c>
      <c r="E78" s="7">
        <f>SUMIFS(Лист2!C:C,Лист2!B:B,Лист1!B78,Лист2!A:A,Лист1!A78)</f>
        <v>10</v>
      </c>
      <c r="F78" s="7">
        <f>SUMIFS(Лист2!$D:$D,Лист2!$B:$B,Лист1!$B78,Лист2!$A:$A,Лист1!$A78)</f>
        <v>448</v>
      </c>
      <c r="G78" s="7">
        <f>SUMIFS(Лист2!$E:$E,Лист2!$B:$B,Лист1!$B78,Лист2!$A:$A,Лист1!$A78)</f>
        <v>376</v>
      </c>
      <c r="H78" s="14">
        <f t="shared" si="2"/>
        <v>71619.600000000006</v>
      </c>
      <c r="I78">
        <f t="shared" si="3"/>
        <v>18</v>
      </c>
    </row>
    <row r="79" spans="1:9" ht="14.25" customHeight="1" x14ac:dyDescent="0.3">
      <c r="A79" s="8">
        <v>43961</v>
      </c>
      <c r="B79" s="9" t="s">
        <v>12</v>
      </c>
      <c r="C79" s="9">
        <v>12918</v>
      </c>
      <c r="D79" s="9">
        <v>1004788.5</v>
      </c>
      <c r="E79" s="7">
        <f>SUMIFS(Лист2!C:C,Лист2!B:B,Лист1!B79,Лист2!A:A,Лист1!A79)</f>
        <v>10</v>
      </c>
      <c r="F79" s="7">
        <f>SUMIFS(Лист2!$D:$D,Лист2!$B:$B,Лист1!$B79,Лист2!$A:$A,Лист1!$A79)</f>
        <v>642</v>
      </c>
      <c r="G79" s="7">
        <f>SUMIFS(Лист2!$E:$E,Лист2!$B:$B,Лист1!$B79,Лист2!$A:$A,Лист1!$A79)</f>
        <v>556</v>
      </c>
      <c r="H79" s="14">
        <f t="shared" si="2"/>
        <v>100478.85</v>
      </c>
      <c r="I79">
        <f t="shared" si="3"/>
        <v>19</v>
      </c>
    </row>
    <row r="80" spans="1:9" ht="14.25" customHeight="1" x14ac:dyDescent="0.3">
      <c r="A80" s="5">
        <v>43959</v>
      </c>
      <c r="B80" s="6" t="s">
        <v>12</v>
      </c>
      <c r="C80" s="6">
        <v>12528</v>
      </c>
      <c r="D80" s="6">
        <v>959703</v>
      </c>
      <c r="E80" s="7">
        <f>SUMIFS(Лист2!C:C,Лист2!B:B,Лист1!B80,Лист2!A:A,Лист1!A80)</f>
        <v>10</v>
      </c>
      <c r="F80" s="7">
        <f>SUMIFS(Лист2!$D:$D,Лист2!$B:$B,Лист1!$B80,Лист2!$A:$A,Лист1!$A80)</f>
        <v>638</v>
      </c>
      <c r="G80" s="7">
        <f>SUMIFS(Лист2!$E:$E,Лист2!$B:$B,Лист1!$B80,Лист2!$A:$A,Лист1!$A80)</f>
        <v>547</v>
      </c>
      <c r="H80" s="14">
        <f t="shared" si="2"/>
        <v>95970.3</v>
      </c>
      <c r="I80">
        <f t="shared" si="3"/>
        <v>19</v>
      </c>
    </row>
    <row r="81" spans="1:9" ht="14.25" customHeight="1" x14ac:dyDescent="0.3">
      <c r="A81" s="8">
        <v>43958</v>
      </c>
      <c r="B81" s="9" t="s">
        <v>12</v>
      </c>
      <c r="C81" s="9">
        <v>11029.5</v>
      </c>
      <c r="D81" s="9">
        <v>863754</v>
      </c>
      <c r="E81" s="7">
        <f>SUMIFS(Лист2!C:C,Лист2!B:B,Лист1!B81,Лист2!A:A,Лист1!A81)</f>
        <v>10</v>
      </c>
      <c r="F81" s="7">
        <f>SUMIFS(Лист2!$D:$D,Лист2!$B:$B,Лист1!$B81,Лист2!$A:$A,Лист1!$A81)</f>
        <v>563</v>
      </c>
      <c r="G81" s="7">
        <f>SUMIFS(Лист2!$E:$E,Лист2!$B:$B,Лист1!$B81,Лист2!$A:$A,Лист1!$A81)</f>
        <v>486</v>
      </c>
      <c r="H81" s="14">
        <f t="shared" si="2"/>
        <v>86375.4</v>
      </c>
      <c r="I81">
        <f t="shared" si="3"/>
        <v>19</v>
      </c>
    </row>
    <row r="82" spans="1:9" ht="14.25" customHeight="1" x14ac:dyDescent="0.3">
      <c r="A82" s="5">
        <v>43975</v>
      </c>
      <c r="B82" s="6" t="s">
        <v>12</v>
      </c>
      <c r="C82" s="6">
        <v>9994.5</v>
      </c>
      <c r="D82" s="6">
        <v>828984</v>
      </c>
      <c r="E82" s="7">
        <f>SUMIFS(Лист2!C:C,Лист2!B:B,Лист1!B82,Лист2!A:A,Лист1!A82)</f>
        <v>10</v>
      </c>
      <c r="F82" s="7">
        <f>SUMIFS(Лист2!$D:$D,Лист2!$B:$B,Лист1!$B82,Лист2!$A:$A,Лист1!$A82)</f>
        <v>639</v>
      </c>
      <c r="G82" s="7">
        <f>SUMIFS(Лист2!$E:$E,Лист2!$B:$B,Лист1!$B82,Лист2!$A:$A,Лист1!$A82)</f>
        <v>557</v>
      </c>
      <c r="H82" s="14">
        <f t="shared" si="2"/>
        <v>82898.399999999994</v>
      </c>
      <c r="I82">
        <f t="shared" si="3"/>
        <v>21</v>
      </c>
    </row>
    <row r="83" spans="1:9" ht="14.25" customHeight="1" x14ac:dyDescent="0.3">
      <c r="A83" s="8">
        <v>43982</v>
      </c>
      <c r="B83" s="9" t="s">
        <v>12</v>
      </c>
      <c r="C83" s="9">
        <v>12724.5</v>
      </c>
      <c r="D83" s="9">
        <v>1045515</v>
      </c>
      <c r="E83" s="7">
        <f>SUMIFS(Лист2!C:C,Лист2!B:B,Лист1!B83,Лист2!A:A,Лист1!A83)</f>
        <v>10</v>
      </c>
      <c r="F83" s="7">
        <f>SUMIFS(Лист2!$D:$D,Лист2!$B:$B,Лист1!$B83,Лист2!$A:$A,Лист1!$A83)</f>
        <v>749</v>
      </c>
      <c r="G83" s="7">
        <f>SUMIFS(Лист2!$E:$E,Лист2!$B:$B,Лист1!$B83,Лист2!$A:$A,Лист1!$A83)</f>
        <v>655</v>
      </c>
      <c r="H83" s="14">
        <f t="shared" si="2"/>
        <v>104551.5</v>
      </c>
      <c r="I83">
        <f t="shared" si="3"/>
        <v>22</v>
      </c>
    </row>
    <row r="84" spans="1:9" ht="14.25" customHeight="1" x14ac:dyDescent="0.3">
      <c r="A84" s="5">
        <v>43981</v>
      </c>
      <c r="B84" s="6" t="s">
        <v>12</v>
      </c>
      <c r="C84" s="6">
        <v>14728.5</v>
      </c>
      <c r="D84" s="6">
        <v>1260483</v>
      </c>
      <c r="E84" s="7">
        <f>SUMIFS(Лист2!C:C,Лист2!B:B,Лист1!B84,Лист2!A:A,Лист1!A84)</f>
        <v>10</v>
      </c>
      <c r="F84" s="7">
        <f>SUMIFS(Лист2!$D:$D,Лист2!$B:$B,Лист1!$B84,Лист2!$A:$A,Лист1!$A84)</f>
        <v>865</v>
      </c>
      <c r="G84" s="7">
        <f>SUMIFS(Лист2!$E:$E,Лист2!$B:$B,Лист1!$B84,Лист2!$A:$A,Лист1!$A84)</f>
        <v>763</v>
      </c>
      <c r="H84" s="14">
        <f t="shared" si="2"/>
        <v>126048.3</v>
      </c>
      <c r="I84">
        <f t="shared" si="3"/>
        <v>22</v>
      </c>
    </row>
    <row r="85" spans="1:9" ht="14.25" customHeight="1" x14ac:dyDescent="0.3">
      <c r="A85" s="8">
        <v>43979</v>
      </c>
      <c r="B85" s="9" t="s">
        <v>12</v>
      </c>
      <c r="C85" s="9">
        <v>13038</v>
      </c>
      <c r="D85" s="9">
        <v>1114552.5</v>
      </c>
      <c r="E85" s="7">
        <f>SUMIFS(Лист2!C:C,Лист2!B:B,Лист1!B85,Лист2!A:A,Лист1!A85)</f>
        <v>10</v>
      </c>
      <c r="F85" s="7">
        <f>SUMIFS(Лист2!$D:$D,Лист2!$B:$B,Лист1!$B85,Лист2!$A:$A,Лист1!$A85)</f>
        <v>791</v>
      </c>
      <c r="G85" s="7">
        <f>SUMIFS(Лист2!$E:$E,Лист2!$B:$B,Лист1!$B85,Лист2!$A:$A,Лист1!$A85)</f>
        <v>697</v>
      </c>
      <c r="H85" s="14">
        <f t="shared" si="2"/>
        <v>111455.25</v>
      </c>
      <c r="I85">
        <f t="shared" si="3"/>
        <v>22</v>
      </c>
    </row>
    <row r="86" spans="1:9" ht="14.25" customHeight="1" x14ac:dyDescent="0.3">
      <c r="A86" s="5">
        <v>43967</v>
      </c>
      <c r="B86" s="6" t="s">
        <v>13</v>
      </c>
      <c r="C86" s="6">
        <v>35482.5</v>
      </c>
      <c r="D86" s="6">
        <v>3222517.5</v>
      </c>
      <c r="E86" s="7">
        <f>SUMIFS(Лист2!C:C,Лист2!B:B,Лист1!B86,Лист2!A:A,Лист1!A86)</f>
        <v>19</v>
      </c>
      <c r="F86" s="7">
        <f>SUMIFS(Лист2!$D:$D,Лист2!$B:$B,Лист1!$B86,Лист2!$A:$A,Лист1!$A86)</f>
        <v>2080</v>
      </c>
      <c r="G86" s="7">
        <f>SUMIFS(Лист2!$E:$E,Лист2!$B:$B,Лист1!$B86,Лист2!$A:$A,Лист1!$A86)</f>
        <v>1844</v>
      </c>
      <c r="H86" s="14">
        <f t="shared" si="2"/>
        <v>169606.18421052632</v>
      </c>
      <c r="I86">
        <f t="shared" si="3"/>
        <v>20</v>
      </c>
    </row>
    <row r="87" spans="1:9" ht="14.25" customHeight="1" x14ac:dyDescent="0.3">
      <c r="A87" s="8">
        <v>43970</v>
      </c>
      <c r="B87" s="9" t="s">
        <v>13</v>
      </c>
      <c r="C87" s="9">
        <v>32434.5</v>
      </c>
      <c r="D87" s="9">
        <v>2865337.5</v>
      </c>
      <c r="E87" s="7">
        <f>SUMIFS(Лист2!C:C,Лист2!B:B,Лист1!B87,Лист2!A:A,Лист1!A87)</f>
        <v>19</v>
      </c>
      <c r="F87" s="7">
        <f>SUMIFS(Лист2!$D:$D,Лист2!$B:$B,Лист1!$B87,Лист2!$A:$A,Лист1!$A87)</f>
        <v>1999</v>
      </c>
      <c r="G87" s="7">
        <f>SUMIFS(Лист2!$E:$E,Лист2!$B:$B,Лист1!$B87,Лист2!$A:$A,Лист1!$A87)</f>
        <v>1799</v>
      </c>
      <c r="H87" s="14">
        <f t="shared" si="2"/>
        <v>150807.23684210525</v>
      </c>
      <c r="I87">
        <f t="shared" si="3"/>
        <v>21</v>
      </c>
    </row>
    <row r="88" spans="1:9" ht="14.25" customHeight="1" x14ac:dyDescent="0.3">
      <c r="A88" s="5">
        <v>43968</v>
      </c>
      <c r="B88" s="6" t="s">
        <v>13</v>
      </c>
      <c r="C88" s="6">
        <v>30486</v>
      </c>
      <c r="D88" s="6">
        <v>2694289.5</v>
      </c>
      <c r="E88" s="7">
        <f>SUMIFS(Лист2!C:C,Лист2!B:B,Лист1!B88,Лист2!A:A,Лист1!A88)</f>
        <v>19</v>
      </c>
      <c r="F88" s="7">
        <f>SUMIFS(Лист2!$D:$D,Лист2!$B:$B,Лист1!$B88,Лист2!$A:$A,Лист1!$A88)</f>
        <v>1871</v>
      </c>
      <c r="G88" s="7">
        <f>SUMIFS(Лист2!$E:$E,Лист2!$B:$B,Лист1!$B88,Лист2!$A:$A,Лист1!$A88)</f>
        <v>1660</v>
      </c>
      <c r="H88" s="14">
        <f t="shared" si="2"/>
        <v>141804.71052631579</v>
      </c>
      <c r="I88">
        <f t="shared" si="3"/>
        <v>20</v>
      </c>
    </row>
    <row r="89" spans="1:9" ht="14.25" customHeight="1" x14ac:dyDescent="0.3">
      <c r="A89" s="8">
        <v>43960</v>
      </c>
      <c r="B89" s="9" t="s">
        <v>13</v>
      </c>
      <c r="C89" s="9">
        <v>32079</v>
      </c>
      <c r="D89" s="9">
        <v>2902167</v>
      </c>
      <c r="E89" s="7">
        <f>SUMIFS(Лист2!C:C,Лист2!B:B,Лист1!B89,Лист2!A:A,Лист1!A89)</f>
        <v>19</v>
      </c>
      <c r="F89" s="7">
        <f>SUMIFS(Лист2!$D:$D,Лист2!$B:$B,Лист1!$B89,Лист2!$A:$A,Лист1!$A89)</f>
        <v>1851</v>
      </c>
      <c r="G89" s="7">
        <f>SUMIFS(Лист2!$E:$E,Лист2!$B:$B,Лист1!$B89,Лист2!$A:$A,Лист1!$A89)</f>
        <v>1635</v>
      </c>
      <c r="H89" s="14">
        <f t="shared" si="2"/>
        <v>152745.63157894736</v>
      </c>
      <c r="I89">
        <f t="shared" si="3"/>
        <v>19</v>
      </c>
    </row>
    <row r="90" spans="1:9" ht="14.25" customHeight="1" x14ac:dyDescent="0.3">
      <c r="A90" s="5">
        <v>43955</v>
      </c>
      <c r="B90" s="6" t="s">
        <v>13</v>
      </c>
      <c r="C90" s="6">
        <v>27072</v>
      </c>
      <c r="D90" s="6">
        <v>2450968.5</v>
      </c>
      <c r="E90" s="7">
        <f>SUMIFS(Лист2!C:C,Лист2!B:B,Лист1!B90,Лист2!A:A,Лист1!A90)</f>
        <v>19</v>
      </c>
      <c r="F90" s="7">
        <f>SUMIFS(Лист2!$D:$D,Лист2!$B:$B,Лист1!$B90,Лист2!$A:$A,Лист1!$A90)</f>
        <v>1582</v>
      </c>
      <c r="G90" s="7">
        <f>SUMIFS(Лист2!$E:$E,Лист2!$B:$B,Лист1!$B90,Лист2!$A:$A,Лист1!$A90)</f>
        <v>1403</v>
      </c>
      <c r="H90" s="14">
        <f t="shared" si="2"/>
        <v>128998.34210526316</v>
      </c>
      <c r="I90">
        <f t="shared" si="3"/>
        <v>19</v>
      </c>
    </row>
    <row r="91" spans="1:9" ht="14.25" customHeight="1" x14ac:dyDescent="0.3">
      <c r="A91" s="8">
        <v>43950</v>
      </c>
      <c r="B91" s="9" t="s">
        <v>13</v>
      </c>
      <c r="C91" s="9">
        <v>25917</v>
      </c>
      <c r="D91" s="9">
        <v>2397588</v>
      </c>
      <c r="E91" s="7">
        <f>SUMIFS(Лист2!C:C,Лист2!B:B,Лист1!B91,Лист2!A:A,Лист1!A91)</f>
        <v>18</v>
      </c>
      <c r="F91" s="7">
        <f>SUMIFS(Лист2!$D:$D,Лист2!$B:$B,Лист1!$B91,Лист2!$A:$A,Лист1!$A91)</f>
        <v>1534</v>
      </c>
      <c r="G91" s="7">
        <f>SUMIFS(Лист2!$E:$E,Лист2!$B:$B,Лист1!$B91,Лист2!$A:$A,Лист1!$A91)</f>
        <v>1369</v>
      </c>
      <c r="H91" s="14">
        <f t="shared" si="2"/>
        <v>133199.33333333334</v>
      </c>
      <c r="I91">
        <f t="shared" si="3"/>
        <v>18</v>
      </c>
    </row>
    <row r="92" spans="1:9" ht="14.25" customHeight="1" x14ac:dyDescent="0.3">
      <c r="A92" s="5">
        <v>43953</v>
      </c>
      <c r="B92" s="6" t="s">
        <v>13</v>
      </c>
      <c r="C92" s="6">
        <v>19461</v>
      </c>
      <c r="D92" s="6">
        <v>1799230.5</v>
      </c>
      <c r="E92" s="7">
        <f>SUMIFS(Лист2!C:C,Лист2!B:B,Лист1!B92,Лист2!A:A,Лист1!A92)</f>
        <v>19</v>
      </c>
      <c r="F92" s="7">
        <f>SUMIFS(Лист2!$D:$D,Лист2!$B:$B,Лист1!$B92,Лист2!$A:$A,Лист1!$A92)</f>
        <v>1217</v>
      </c>
      <c r="G92" s="7">
        <f>SUMIFS(Лист2!$E:$E,Лист2!$B:$B,Лист1!$B92,Лист2!$A:$A,Лист1!$A92)</f>
        <v>1048</v>
      </c>
      <c r="H92" s="14">
        <f t="shared" si="2"/>
        <v>94696.34210526316</v>
      </c>
      <c r="I92">
        <f t="shared" si="3"/>
        <v>18</v>
      </c>
    </row>
    <row r="93" spans="1:9" ht="14.25" customHeight="1" x14ac:dyDescent="0.3">
      <c r="A93" s="8">
        <v>43977</v>
      </c>
      <c r="B93" s="9" t="s">
        <v>13</v>
      </c>
      <c r="C93" s="9">
        <v>31407</v>
      </c>
      <c r="D93" s="9">
        <v>2907411</v>
      </c>
      <c r="E93" s="7">
        <f>SUMIFS(Лист2!C:C,Лист2!B:B,Лист1!B93,Лист2!A:A,Лист1!A93)</f>
        <v>20</v>
      </c>
      <c r="F93" s="7">
        <f>SUMIFS(Лист2!$D:$D,Лист2!$B:$B,Лист1!$B93,Лист2!$A:$A,Лист1!$A93)</f>
        <v>2036</v>
      </c>
      <c r="G93" s="7">
        <f>SUMIFS(Лист2!$E:$E,Лист2!$B:$B,Лист1!$B93,Лист2!$A:$A,Лист1!$A93)</f>
        <v>1790</v>
      </c>
      <c r="H93" s="14">
        <f t="shared" si="2"/>
        <v>145370.54999999999</v>
      </c>
      <c r="I93">
        <f t="shared" si="3"/>
        <v>22</v>
      </c>
    </row>
    <row r="94" spans="1:9" ht="14.25" customHeight="1" x14ac:dyDescent="0.3">
      <c r="A94" s="5">
        <v>43952</v>
      </c>
      <c r="B94" s="6" t="s">
        <v>13</v>
      </c>
      <c r="C94" s="6">
        <v>25792.5</v>
      </c>
      <c r="D94" s="6">
        <v>2374356</v>
      </c>
      <c r="E94" s="7">
        <f>SUMIFS(Лист2!C:C,Лист2!B:B,Лист1!B94,Лист2!A:A,Лист1!A94)</f>
        <v>19</v>
      </c>
      <c r="F94" s="7">
        <f>SUMIFS(Лист2!$D:$D,Лист2!$B:$B,Лист1!$B94,Лист2!$A:$A,Лист1!$A94)</f>
        <v>1497</v>
      </c>
      <c r="G94" s="7">
        <f>SUMIFS(Лист2!$E:$E,Лист2!$B:$B,Лист1!$B94,Лист2!$A:$A,Лист1!$A94)</f>
        <v>1291</v>
      </c>
      <c r="H94" s="14">
        <f t="shared" si="2"/>
        <v>124966.10526315789</v>
      </c>
      <c r="I94">
        <f t="shared" si="3"/>
        <v>18</v>
      </c>
    </row>
    <row r="95" spans="1:9" ht="14.25" customHeight="1" x14ac:dyDescent="0.3">
      <c r="A95" s="8">
        <v>43963</v>
      </c>
      <c r="B95" s="9" t="s">
        <v>13</v>
      </c>
      <c r="C95" s="9">
        <v>26032.5</v>
      </c>
      <c r="D95" s="9">
        <v>2370432</v>
      </c>
      <c r="E95" s="7">
        <f>SUMIFS(Лист2!C:C,Лист2!B:B,Лист1!B95,Лист2!A:A,Лист1!A95)</f>
        <v>19</v>
      </c>
      <c r="F95" s="7">
        <f>SUMIFS(Лист2!$D:$D,Лист2!$B:$B,Лист1!$B95,Лист2!$A:$A,Лист1!$A95)</f>
        <v>1649</v>
      </c>
      <c r="G95" s="7">
        <f>SUMIFS(Лист2!$E:$E,Лист2!$B:$B,Лист1!$B95,Лист2!$A:$A,Лист1!$A95)</f>
        <v>1460</v>
      </c>
      <c r="H95" s="14">
        <f t="shared" si="2"/>
        <v>124759.57894736843</v>
      </c>
      <c r="I95">
        <f t="shared" si="3"/>
        <v>20</v>
      </c>
    </row>
    <row r="96" spans="1:9" ht="14.25" customHeight="1" x14ac:dyDescent="0.3">
      <c r="A96" s="5">
        <v>43972</v>
      </c>
      <c r="B96" s="6" t="s">
        <v>13</v>
      </c>
      <c r="C96" s="6">
        <v>31707</v>
      </c>
      <c r="D96" s="6">
        <v>2853181.5</v>
      </c>
      <c r="E96" s="7">
        <f>SUMIFS(Лист2!C:C,Лист2!B:B,Лист1!B96,Лист2!A:A,Лист1!A96)</f>
        <v>19</v>
      </c>
      <c r="F96" s="7">
        <f>SUMIFS(Лист2!$D:$D,Лист2!$B:$B,Лист1!$B96,Лист2!$A:$A,Лист1!$A96)</f>
        <v>1949</v>
      </c>
      <c r="G96" s="7">
        <f>SUMIFS(Лист2!$E:$E,Лист2!$B:$B,Лист1!$B96,Лист2!$A:$A,Лист1!$A96)</f>
        <v>1724</v>
      </c>
      <c r="H96" s="14">
        <f t="shared" si="2"/>
        <v>150167.44736842104</v>
      </c>
      <c r="I96">
        <f t="shared" si="3"/>
        <v>21</v>
      </c>
    </row>
    <row r="97" spans="1:9" ht="14.25" customHeight="1" x14ac:dyDescent="0.3">
      <c r="A97" s="8">
        <v>43971</v>
      </c>
      <c r="B97" s="9" t="s">
        <v>13</v>
      </c>
      <c r="C97" s="9">
        <v>29955</v>
      </c>
      <c r="D97" s="9">
        <v>2692230</v>
      </c>
      <c r="E97" s="7">
        <f>SUMIFS(Лист2!C:C,Лист2!B:B,Лист1!B97,Лист2!A:A,Лист1!A97)</f>
        <v>19</v>
      </c>
      <c r="F97" s="7">
        <f>SUMIFS(Лист2!$D:$D,Лист2!$B:$B,Лист1!$B97,Лист2!$A:$A,Лист1!$A97)</f>
        <v>1889</v>
      </c>
      <c r="G97" s="7">
        <f>SUMIFS(Лист2!$E:$E,Лист2!$B:$B,Лист1!$B97,Лист2!$A:$A,Лист1!$A97)</f>
        <v>1690</v>
      </c>
      <c r="H97" s="14">
        <f t="shared" si="2"/>
        <v>141696.31578947368</v>
      </c>
      <c r="I97">
        <f t="shared" si="3"/>
        <v>21</v>
      </c>
    </row>
    <row r="98" spans="1:9" ht="14.25" customHeight="1" x14ac:dyDescent="0.3">
      <c r="A98" s="5">
        <v>43956</v>
      </c>
      <c r="B98" s="6" t="s">
        <v>13</v>
      </c>
      <c r="C98" s="6">
        <v>22848</v>
      </c>
      <c r="D98" s="6">
        <v>2079900</v>
      </c>
      <c r="E98" s="7">
        <f>SUMIFS(Лист2!C:C,Лист2!B:B,Лист1!B98,Лист2!A:A,Лист1!A98)</f>
        <v>19</v>
      </c>
      <c r="F98" s="7">
        <f>SUMIFS(Лист2!$D:$D,Лист2!$B:$B,Лист1!$B98,Лист2!$A:$A,Лист1!$A98)</f>
        <v>1417</v>
      </c>
      <c r="G98" s="7">
        <f>SUMIFS(Лист2!$E:$E,Лист2!$B:$B,Лист1!$B98,Лист2!$A:$A,Лист1!$A98)</f>
        <v>1245</v>
      </c>
      <c r="H98" s="14">
        <f t="shared" si="2"/>
        <v>109468.42105263157</v>
      </c>
      <c r="I98">
        <f t="shared" si="3"/>
        <v>19</v>
      </c>
    </row>
    <row r="99" spans="1:9" ht="14.25" customHeight="1" x14ac:dyDescent="0.3">
      <c r="A99" s="8">
        <v>43949</v>
      </c>
      <c r="B99" s="9" t="s">
        <v>13</v>
      </c>
      <c r="C99" s="9">
        <v>23314.5</v>
      </c>
      <c r="D99" s="9">
        <v>2136817.5</v>
      </c>
      <c r="E99" s="7">
        <f>SUMIFS(Лист2!C:C,Лист2!B:B,Лист1!B99,Лист2!A:A,Лист1!A99)</f>
        <v>17</v>
      </c>
      <c r="F99" s="7">
        <f>SUMIFS(Лист2!$D:$D,Лист2!$B:$B,Лист1!$B99,Лист2!$A:$A,Лист1!$A99)</f>
        <v>1439</v>
      </c>
      <c r="G99" s="7">
        <f>SUMIFS(Лист2!$E:$E,Лист2!$B:$B,Лист1!$B99,Лист2!$A:$A,Лист1!$A99)</f>
        <v>1265</v>
      </c>
      <c r="H99" s="14">
        <f t="shared" si="2"/>
        <v>125695.14705882352</v>
      </c>
      <c r="I99">
        <f t="shared" si="3"/>
        <v>18</v>
      </c>
    </row>
    <row r="100" spans="1:9" ht="14.25" customHeight="1" x14ac:dyDescent="0.3">
      <c r="A100" s="5">
        <v>43964</v>
      </c>
      <c r="B100" s="6" t="s">
        <v>13</v>
      </c>
      <c r="C100" s="6">
        <v>26464.5</v>
      </c>
      <c r="D100" s="6">
        <v>2373337.5</v>
      </c>
      <c r="E100" s="7">
        <f>SUMIFS(Лист2!C:C,Лист2!B:B,Лист1!B100,Лист2!A:A,Лист1!A100)</f>
        <v>19</v>
      </c>
      <c r="F100" s="7">
        <f>SUMIFS(Лист2!$D:$D,Лист2!$B:$B,Лист1!$B100,Лист2!$A:$A,Лист1!$A100)</f>
        <v>1625</v>
      </c>
      <c r="G100" s="7">
        <f>SUMIFS(Лист2!$E:$E,Лист2!$B:$B,Лист1!$B100,Лист2!$A:$A,Лист1!$A100)</f>
        <v>1444</v>
      </c>
      <c r="H100" s="14">
        <f t="shared" si="2"/>
        <v>124912.5</v>
      </c>
      <c r="I100">
        <f t="shared" si="3"/>
        <v>20</v>
      </c>
    </row>
    <row r="101" spans="1:9" ht="14.25" customHeight="1" x14ac:dyDescent="0.3">
      <c r="A101" s="8">
        <v>43954</v>
      </c>
      <c r="B101" s="9" t="s">
        <v>13</v>
      </c>
      <c r="C101" s="9">
        <v>23539.5</v>
      </c>
      <c r="D101" s="9">
        <v>2170309.5</v>
      </c>
      <c r="E101" s="7">
        <f>SUMIFS(Лист2!C:C,Лист2!B:B,Лист1!B101,Лист2!A:A,Лист1!A101)</f>
        <v>19</v>
      </c>
      <c r="F101" s="7">
        <f>SUMIFS(Лист2!$D:$D,Лист2!$B:$B,Лист1!$B101,Лист2!$A:$A,Лист1!$A101)</f>
        <v>1402</v>
      </c>
      <c r="G101" s="7">
        <f>SUMIFS(Лист2!$E:$E,Лист2!$B:$B,Лист1!$B101,Лист2!$A:$A,Лист1!$A101)</f>
        <v>1234</v>
      </c>
      <c r="H101" s="14">
        <f t="shared" si="2"/>
        <v>114226.81578947368</v>
      </c>
      <c r="I101">
        <f t="shared" si="3"/>
        <v>18</v>
      </c>
    </row>
    <row r="102" spans="1:9" ht="14.25" customHeight="1" x14ac:dyDescent="0.3">
      <c r="A102" s="5">
        <v>43957</v>
      </c>
      <c r="B102" s="6" t="s">
        <v>13</v>
      </c>
      <c r="C102" s="6">
        <v>24678</v>
      </c>
      <c r="D102" s="6">
        <v>2232519</v>
      </c>
      <c r="E102" s="7">
        <f>SUMIFS(Лист2!C:C,Лист2!B:B,Лист1!B102,Лист2!A:A,Лист1!A102)</f>
        <v>19</v>
      </c>
      <c r="F102" s="7">
        <f>SUMIFS(Лист2!$D:$D,Лист2!$B:$B,Лист1!$B102,Лист2!$A:$A,Лист1!$A102)</f>
        <v>1499</v>
      </c>
      <c r="G102" s="7">
        <f>SUMIFS(Лист2!$E:$E,Лист2!$B:$B,Лист1!$B102,Лист2!$A:$A,Лист1!$A102)</f>
        <v>1323</v>
      </c>
      <c r="H102" s="14">
        <f t="shared" si="2"/>
        <v>117501</v>
      </c>
      <c r="I102">
        <f t="shared" si="3"/>
        <v>19</v>
      </c>
    </row>
    <row r="103" spans="1:9" ht="14.25" customHeight="1" x14ac:dyDescent="0.3">
      <c r="A103" s="8">
        <v>43974</v>
      </c>
      <c r="B103" s="9" t="s">
        <v>13</v>
      </c>
      <c r="C103" s="9">
        <v>38176.5</v>
      </c>
      <c r="D103" s="9">
        <v>3385372.5</v>
      </c>
      <c r="E103" s="7">
        <f>SUMIFS(Лист2!C:C,Лист2!B:B,Лист1!B103,Лист2!A:A,Лист1!A103)</f>
        <v>20</v>
      </c>
      <c r="F103" s="7">
        <f>SUMIFS(Лист2!$D:$D,Лист2!$B:$B,Лист1!$B103,Лист2!$A:$A,Лист1!$A103)</f>
        <v>2266</v>
      </c>
      <c r="G103" s="7">
        <f>SUMIFS(Лист2!$E:$E,Лист2!$B:$B,Лист1!$B103,Лист2!$A:$A,Лист1!$A103)</f>
        <v>1993</v>
      </c>
      <c r="H103" s="14">
        <f t="shared" si="2"/>
        <v>169268.625</v>
      </c>
      <c r="I103">
        <f t="shared" si="3"/>
        <v>21</v>
      </c>
    </row>
    <row r="104" spans="1:9" ht="14.25" customHeight="1" x14ac:dyDescent="0.3">
      <c r="A104" s="5">
        <v>43976</v>
      </c>
      <c r="B104" s="6" t="s">
        <v>13</v>
      </c>
      <c r="C104" s="6">
        <v>30603</v>
      </c>
      <c r="D104" s="6">
        <v>2865727.5</v>
      </c>
      <c r="E104" s="7">
        <f>SUMIFS(Лист2!C:C,Лист2!B:B,Лист1!B104,Лист2!A:A,Лист1!A104)</f>
        <v>20</v>
      </c>
      <c r="F104" s="7">
        <f>SUMIFS(Лист2!$D:$D,Лист2!$B:$B,Лист1!$B104,Лист2!$A:$A,Лист1!$A104)</f>
        <v>2011</v>
      </c>
      <c r="G104" s="7">
        <f>SUMIFS(Лист2!$E:$E,Лист2!$B:$B,Лист1!$B104,Лист2!$A:$A,Лист1!$A104)</f>
        <v>1791</v>
      </c>
      <c r="H104" s="14">
        <f t="shared" si="2"/>
        <v>143286.375</v>
      </c>
      <c r="I104">
        <f t="shared" si="3"/>
        <v>22</v>
      </c>
    </row>
    <row r="105" spans="1:9" ht="14.25" customHeight="1" x14ac:dyDescent="0.3">
      <c r="A105" s="8">
        <v>43951</v>
      </c>
      <c r="B105" s="9" t="s">
        <v>13</v>
      </c>
      <c r="C105" s="9">
        <v>24211.5</v>
      </c>
      <c r="D105" s="9">
        <v>2267664</v>
      </c>
      <c r="E105" s="7">
        <f>SUMIFS(Лист2!C:C,Лист2!B:B,Лист1!B105,Лист2!A:A,Лист1!A105)</f>
        <v>19</v>
      </c>
      <c r="F105" s="7">
        <f>SUMIFS(Лист2!$D:$D,Лист2!$B:$B,Лист1!$B105,Лист2!$A:$A,Лист1!$A105)</f>
        <v>1499</v>
      </c>
      <c r="G105" s="7">
        <f>SUMIFS(Лист2!$E:$E,Лист2!$B:$B,Лист1!$B105,Лист2!$A:$A,Лист1!$A105)</f>
        <v>1322</v>
      </c>
      <c r="H105" s="14">
        <f t="shared" si="2"/>
        <v>119350.73684210527</v>
      </c>
      <c r="I105">
        <f t="shared" si="3"/>
        <v>18</v>
      </c>
    </row>
    <row r="106" spans="1:9" ht="14.25" customHeight="1" x14ac:dyDescent="0.3">
      <c r="A106" s="5">
        <v>43961</v>
      </c>
      <c r="B106" s="6" t="s">
        <v>13</v>
      </c>
      <c r="C106" s="6">
        <v>31399.5</v>
      </c>
      <c r="D106" s="6">
        <v>2862298.5</v>
      </c>
      <c r="E106" s="7">
        <f>SUMIFS(Лист2!C:C,Лист2!B:B,Лист1!B106,Лист2!A:A,Лист1!A106)</f>
        <v>19</v>
      </c>
      <c r="F106" s="7">
        <f>SUMIFS(Лист2!$D:$D,Лист2!$B:$B,Лист1!$B106,Лист2!$A:$A,Лист1!$A106)</f>
        <v>1848</v>
      </c>
      <c r="G106" s="7">
        <f>SUMIFS(Лист2!$E:$E,Лист2!$B:$B,Лист1!$B106,Лист2!$A:$A,Лист1!$A106)</f>
        <v>1649</v>
      </c>
      <c r="H106" s="14">
        <f t="shared" si="2"/>
        <v>150647.28947368421</v>
      </c>
      <c r="I106">
        <f t="shared" si="3"/>
        <v>19</v>
      </c>
    </row>
    <row r="107" spans="1:9" ht="14.25" customHeight="1" x14ac:dyDescent="0.3">
      <c r="A107" s="8">
        <v>43959</v>
      </c>
      <c r="B107" s="9" t="s">
        <v>13</v>
      </c>
      <c r="C107" s="9">
        <v>25294.5</v>
      </c>
      <c r="D107" s="9">
        <v>2271454.5</v>
      </c>
      <c r="E107" s="7">
        <f>SUMIFS(Лист2!C:C,Лист2!B:B,Лист1!B107,Лист2!A:A,Лист1!A107)</f>
        <v>19</v>
      </c>
      <c r="F107" s="7">
        <f>SUMIFS(Лист2!$D:$D,Лист2!$B:$B,Лист1!$B107,Лист2!$A:$A,Лист1!$A107)</f>
        <v>1522</v>
      </c>
      <c r="G107" s="7">
        <f>SUMIFS(Лист2!$E:$E,Лист2!$B:$B,Лист1!$B107,Лист2!$A:$A,Лист1!$A107)</f>
        <v>1340</v>
      </c>
      <c r="H107" s="14">
        <f t="shared" si="2"/>
        <v>119550.23684210527</v>
      </c>
      <c r="I107">
        <f t="shared" si="3"/>
        <v>19</v>
      </c>
    </row>
    <row r="108" spans="1:9" ht="14.25" customHeight="1" x14ac:dyDescent="0.3">
      <c r="A108" s="5">
        <v>43958</v>
      </c>
      <c r="B108" s="6" t="s">
        <v>13</v>
      </c>
      <c r="C108" s="6">
        <v>25468.5</v>
      </c>
      <c r="D108" s="6">
        <v>2350672.5</v>
      </c>
      <c r="E108" s="7">
        <f>SUMIFS(Лист2!C:C,Лист2!B:B,Лист1!B108,Лист2!A:A,Лист1!A108)</f>
        <v>19</v>
      </c>
      <c r="F108" s="7">
        <f>SUMIFS(Лист2!$D:$D,Лист2!$B:$B,Лист1!$B108,Лист2!$A:$A,Лист1!$A108)</f>
        <v>1530</v>
      </c>
      <c r="G108" s="7">
        <f>SUMIFS(Лист2!$E:$E,Лист2!$B:$B,Лист1!$B108,Лист2!$A:$A,Лист1!$A108)</f>
        <v>1338</v>
      </c>
      <c r="H108" s="14">
        <f t="shared" si="2"/>
        <v>123719.60526315789</v>
      </c>
      <c r="I108">
        <f t="shared" si="3"/>
        <v>19</v>
      </c>
    </row>
    <row r="109" spans="1:9" ht="14.25" customHeight="1" x14ac:dyDescent="0.3">
      <c r="A109" s="8">
        <v>43975</v>
      </c>
      <c r="B109" s="9" t="s">
        <v>13</v>
      </c>
      <c r="C109" s="9">
        <v>31854</v>
      </c>
      <c r="D109" s="9">
        <v>2915533.5</v>
      </c>
      <c r="E109" s="7">
        <f>SUMIFS(Лист2!C:C,Лист2!B:B,Лист1!B109,Лист2!A:A,Лист1!A109)</f>
        <v>20</v>
      </c>
      <c r="F109" s="7">
        <f>SUMIFS(Лист2!$D:$D,Лист2!$B:$B,Лист1!$B109,Лист2!$A:$A,Лист1!$A109)</f>
        <v>2015</v>
      </c>
      <c r="G109" s="7">
        <f>SUMIFS(Лист2!$E:$E,Лист2!$B:$B,Лист1!$B109,Лист2!$A:$A,Лист1!$A109)</f>
        <v>1803</v>
      </c>
      <c r="H109" s="14">
        <f t="shared" si="2"/>
        <v>145776.67499999999</v>
      </c>
      <c r="I109">
        <f t="shared" si="3"/>
        <v>21</v>
      </c>
    </row>
    <row r="110" spans="1:9" ht="14.25" customHeight="1" x14ac:dyDescent="0.3">
      <c r="A110" s="5">
        <v>43982</v>
      </c>
      <c r="B110" s="6" t="s">
        <v>13</v>
      </c>
      <c r="C110" s="6">
        <v>32359.5</v>
      </c>
      <c r="D110" s="6">
        <v>2991999</v>
      </c>
      <c r="E110" s="7">
        <f>SUMIFS(Лист2!C:C,Лист2!B:B,Лист1!B110,Лист2!A:A,Лист1!A110)</f>
        <v>20</v>
      </c>
      <c r="F110" s="7">
        <f>SUMIFS(Лист2!$D:$D,Лист2!$B:$B,Лист1!$B110,Лист2!$A:$A,Лист1!$A110)</f>
        <v>2060</v>
      </c>
      <c r="G110" s="7">
        <f>SUMIFS(Лист2!$E:$E,Лист2!$B:$B,Лист1!$B110,Лист2!$A:$A,Лист1!$A110)</f>
        <v>1826</v>
      </c>
      <c r="H110" s="14">
        <f t="shared" si="2"/>
        <v>149599.95000000001</v>
      </c>
      <c r="I110">
        <f t="shared" si="3"/>
        <v>22</v>
      </c>
    </row>
    <row r="111" spans="1:9" ht="14.25" customHeight="1" x14ac:dyDescent="0.3">
      <c r="A111" s="8">
        <v>43981</v>
      </c>
      <c r="B111" s="9" t="s">
        <v>13</v>
      </c>
      <c r="C111" s="9">
        <v>39867</v>
      </c>
      <c r="D111" s="9">
        <v>3654166.5</v>
      </c>
      <c r="E111" s="7">
        <f>SUMIFS(Лист2!C:C,Лист2!B:B,Лист1!B111,Лист2!A:A,Лист1!A111)</f>
        <v>20</v>
      </c>
      <c r="F111" s="7">
        <f>SUMIFS(Лист2!$D:$D,Лист2!$B:$B,Лист1!$B111,Лист2!$A:$A,Лист1!$A111)</f>
        <v>2451</v>
      </c>
      <c r="G111" s="7">
        <f>SUMIFS(Лист2!$E:$E,Лист2!$B:$B,Лист1!$B111,Лист2!$A:$A,Лист1!$A111)</f>
        <v>2178</v>
      </c>
      <c r="H111" s="14">
        <f t="shared" si="2"/>
        <v>182708.32500000001</v>
      </c>
      <c r="I111">
        <f t="shared" si="3"/>
        <v>22</v>
      </c>
    </row>
    <row r="112" spans="1:9" ht="14.25" customHeight="1" x14ac:dyDescent="0.3">
      <c r="A112" s="5">
        <v>43979</v>
      </c>
      <c r="B112" s="6" t="s">
        <v>13</v>
      </c>
      <c r="C112" s="6">
        <v>31974</v>
      </c>
      <c r="D112" s="6">
        <v>3004213.5</v>
      </c>
      <c r="E112" s="7">
        <f>SUMIFS(Лист2!C:C,Лист2!B:B,Лист1!B112,Лист2!A:A,Лист1!A112)</f>
        <v>20</v>
      </c>
      <c r="F112" s="7">
        <f>SUMIFS(Лист2!$D:$D,Лист2!$B:$B,Лист1!$B112,Лист2!$A:$A,Лист1!$A112)</f>
        <v>2088</v>
      </c>
      <c r="G112" s="7">
        <f>SUMIFS(Лист2!$E:$E,Лист2!$B:$B,Лист1!$B112,Лист2!$A:$A,Лист1!$A112)</f>
        <v>1848</v>
      </c>
      <c r="H112" s="14">
        <f t="shared" si="2"/>
        <v>150210.67499999999</v>
      </c>
      <c r="I112">
        <f t="shared" si="3"/>
        <v>22</v>
      </c>
    </row>
    <row r="113" spans="1:9" ht="14.25" customHeight="1" x14ac:dyDescent="0.3">
      <c r="A113" s="8">
        <v>43967</v>
      </c>
      <c r="B113" s="9" t="s">
        <v>14</v>
      </c>
      <c r="C113" s="9">
        <v>321412.5</v>
      </c>
      <c r="D113" s="9">
        <v>32235864</v>
      </c>
      <c r="E113" s="7">
        <f>SUMIFS(Лист2!C:C,Лист2!B:B,Лист1!B113,Лист2!A:A,Лист1!A113)</f>
        <v>129</v>
      </c>
      <c r="F113" s="7">
        <f>SUMIFS(Лист2!$D:$D,Лист2!$B:$B,Лист1!$B113,Лист2!$A:$A,Лист1!$A113)</f>
        <v>17914</v>
      </c>
      <c r="G113" s="7">
        <f>SUMIFS(Лист2!$E:$E,Лист2!$B:$B,Лист1!$B113,Лист2!$A:$A,Лист1!$A113)</f>
        <v>16631</v>
      </c>
      <c r="H113" s="14">
        <f t="shared" si="2"/>
        <v>249890.41860465117</v>
      </c>
      <c r="I113">
        <f t="shared" si="3"/>
        <v>20</v>
      </c>
    </row>
    <row r="114" spans="1:9" ht="14.25" customHeight="1" x14ac:dyDescent="0.3">
      <c r="A114" s="5">
        <v>43970</v>
      </c>
      <c r="B114" s="6" t="s">
        <v>14</v>
      </c>
      <c r="C114" s="6">
        <v>276568.5</v>
      </c>
      <c r="D114" s="6">
        <v>27093624</v>
      </c>
      <c r="E114" s="7">
        <f>SUMIFS(Лист2!C:C,Лист2!B:B,Лист1!B114,Лист2!A:A,Лист1!A114)</f>
        <v>129</v>
      </c>
      <c r="F114" s="7">
        <f>SUMIFS(Лист2!$D:$D,Лист2!$B:$B,Лист1!$B114,Лист2!$A:$A,Лист1!$A114)</f>
        <v>16191</v>
      </c>
      <c r="G114" s="7">
        <f>SUMIFS(Лист2!$E:$E,Лист2!$B:$B,Лист1!$B114,Лист2!$A:$A,Лист1!$A114)</f>
        <v>15102</v>
      </c>
      <c r="H114" s="14">
        <f t="shared" si="2"/>
        <v>210028.09302325582</v>
      </c>
      <c r="I114">
        <f t="shared" si="3"/>
        <v>21</v>
      </c>
    </row>
    <row r="115" spans="1:9" ht="14.25" customHeight="1" x14ac:dyDescent="0.3">
      <c r="A115" s="8">
        <v>43968</v>
      </c>
      <c r="B115" s="9" t="s">
        <v>14</v>
      </c>
      <c r="C115" s="9">
        <v>269029.5</v>
      </c>
      <c r="D115" s="9">
        <v>26659930.5</v>
      </c>
      <c r="E115" s="7">
        <f>SUMIFS(Лист2!C:C,Лист2!B:B,Лист1!B115,Лист2!A:A,Лист1!A115)</f>
        <v>129</v>
      </c>
      <c r="F115" s="7">
        <f>SUMIFS(Лист2!$D:$D,Лист2!$B:$B,Лист1!$B115,Лист2!$A:$A,Лист1!$A115)</f>
        <v>15744</v>
      </c>
      <c r="G115" s="7">
        <f>SUMIFS(Лист2!$E:$E,Лист2!$B:$B,Лист1!$B115,Лист2!$A:$A,Лист1!$A115)</f>
        <v>14685</v>
      </c>
      <c r="H115" s="14">
        <f t="shared" si="2"/>
        <v>206666.12790697673</v>
      </c>
      <c r="I115">
        <f t="shared" si="3"/>
        <v>20</v>
      </c>
    </row>
    <row r="116" spans="1:9" ht="14.25" customHeight="1" x14ac:dyDescent="0.3">
      <c r="A116" s="5">
        <v>43960</v>
      </c>
      <c r="B116" s="6" t="s">
        <v>14</v>
      </c>
      <c r="C116" s="6">
        <v>285972</v>
      </c>
      <c r="D116" s="6">
        <v>29768199</v>
      </c>
      <c r="E116" s="7">
        <f>SUMIFS(Лист2!C:C,Лист2!B:B,Лист1!B116,Лист2!A:A,Лист1!A116)</f>
        <v>129</v>
      </c>
      <c r="F116" s="7">
        <f>SUMIFS(Лист2!$D:$D,Лист2!$B:$B,Лист1!$B116,Лист2!$A:$A,Лист1!$A116)</f>
        <v>16420</v>
      </c>
      <c r="G116" s="7">
        <f>SUMIFS(Лист2!$E:$E,Лист2!$B:$B,Лист1!$B116,Лист2!$A:$A,Лист1!$A116)</f>
        <v>15169</v>
      </c>
      <c r="H116" s="14">
        <f t="shared" si="2"/>
        <v>230761.23255813954</v>
      </c>
      <c r="I116">
        <f t="shared" si="3"/>
        <v>19</v>
      </c>
    </row>
    <row r="117" spans="1:9" ht="14.25" customHeight="1" x14ac:dyDescent="0.3">
      <c r="A117" s="8">
        <v>43955</v>
      </c>
      <c r="B117" s="9" t="s">
        <v>14</v>
      </c>
      <c r="C117" s="9">
        <v>283942.5</v>
      </c>
      <c r="D117" s="9">
        <v>29357940</v>
      </c>
      <c r="E117" s="7">
        <f>SUMIFS(Лист2!C:C,Лист2!B:B,Лист1!B117,Лист2!A:A,Лист1!A117)</f>
        <v>129</v>
      </c>
      <c r="F117" s="7">
        <f>SUMIFS(Лист2!$D:$D,Лист2!$B:$B,Лист1!$B117,Лист2!$A:$A,Лист1!$A117)</f>
        <v>16525</v>
      </c>
      <c r="G117" s="7">
        <f>SUMIFS(Лист2!$E:$E,Лист2!$B:$B,Лист1!$B117,Лист2!$A:$A,Лист1!$A117)</f>
        <v>15310</v>
      </c>
      <c r="H117" s="14">
        <f t="shared" si="2"/>
        <v>227580.93023255814</v>
      </c>
      <c r="I117">
        <f t="shared" si="3"/>
        <v>19</v>
      </c>
    </row>
    <row r="118" spans="1:9" ht="14.25" customHeight="1" x14ac:dyDescent="0.3">
      <c r="A118" s="5">
        <v>43950</v>
      </c>
      <c r="B118" s="6" t="s">
        <v>14</v>
      </c>
      <c r="C118" s="6">
        <v>298059</v>
      </c>
      <c r="D118" s="6">
        <v>30869287.5</v>
      </c>
      <c r="E118" s="7">
        <f>SUMIFS(Лист2!C:C,Лист2!B:B,Лист1!B118,Лист2!A:A,Лист1!A118)</f>
        <v>128</v>
      </c>
      <c r="F118" s="7">
        <f>SUMIFS(Лист2!$D:$D,Лист2!$B:$B,Лист1!$B118,Лист2!$A:$A,Лист1!$A118)</f>
        <v>17368</v>
      </c>
      <c r="G118" s="7">
        <f>SUMIFS(Лист2!$E:$E,Лист2!$B:$B,Лист1!$B118,Лист2!$A:$A,Лист1!$A118)</f>
        <v>16077</v>
      </c>
      <c r="H118" s="14">
        <f t="shared" si="2"/>
        <v>241166.30859375</v>
      </c>
      <c r="I118">
        <f t="shared" si="3"/>
        <v>18</v>
      </c>
    </row>
    <row r="119" spans="1:9" ht="14.25" customHeight="1" x14ac:dyDescent="0.3">
      <c r="A119" s="8">
        <v>43953</v>
      </c>
      <c r="B119" s="9" t="s">
        <v>14</v>
      </c>
      <c r="C119" s="9">
        <v>232903.5</v>
      </c>
      <c r="D119" s="9">
        <v>24342016.5</v>
      </c>
      <c r="E119" s="7">
        <f>SUMIFS(Лист2!C:C,Лист2!B:B,Лист1!B119,Лист2!A:A,Лист1!A119)</f>
        <v>129</v>
      </c>
      <c r="F119" s="7">
        <f>SUMIFS(Лист2!$D:$D,Лист2!$B:$B,Лист1!$B119,Лист2!$A:$A,Лист1!$A119)</f>
        <v>14009</v>
      </c>
      <c r="G119" s="7">
        <f>SUMIFS(Лист2!$E:$E,Лист2!$B:$B,Лист1!$B119,Лист2!$A:$A,Лист1!$A119)</f>
        <v>12920</v>
      </c>
      <c r="H119" s="14">
        <f t="shared" si="2"/>
        <v>188697.8023255814</v>
      </c>
      <c r="I119">
        <f t="shared" si="3"/>
        <v>18</v>
      </c>
    </row>
    <row r="120" spans="1:9" ht="14.25" customHeight="1" x14ac:dyDescent="0.3">
      <c r="A120" s="5">
        <v>43977</v>
      </c>
      <c r="B120" s="6" t="s">
        <v>14</v>
      </c>
      <c r="C120" s="6">
        <v>276966</v>
      </c>
      <c r="D120" s="6">
        <v>27872617.898850001</v>
      </c>
      <c r="E120" s="7">
        <f>SUMIFS(Лист2!C:C,Лист2!B:B,Лист1!B120,Лист2!A:A,Лист1!A120)</f>
        <v>129</v>
      </c>
      <c r="F120" s="7">
        <f>SUMIFS(Лист2!$D:$D,Лист2!$B:$B,Лист1!$B120,Лист2!$A:$A,Лист1!$A120)</f>
        <v>16459</v>
      </c>
      <c r="G120" s="7">
        <f>SUMIFS(Лист2!$E:$E,Лист2!$B:$B,Лист1!$B120,Лист2!$A:$A,Лист1!$A120)</f>
        <v>15355</v>
      </c>
      <c r="H120" s="14">
        <f t="shared" si="2"/>
        <v>216066.80541744188</v>
      </c>
      <c r="I120">
        <f t="shared" si="3"/>
        <v>22</v>
      </c>
    </row>
    <row r="121" spans="1:9" ht="14.25" customHeight="1" x14ac:dyDescent="0.3">
      <c r="A121" s="8">
        <v>43952</v>
      </c>
      <c r="B121" s="9" t="s">
        <v>14</v>
      </c>
      <c r="C121" s="9">
        <v>296149.5</v>
      </c>
      <c r="D121" s="9">
        <v>31053316.5</v>
      </c>
      <c r="E121" s="7">
        <f>SUMIFS(Лист2!C:C,Лист2!B:B,Лист1!B121,Лист2!A:A,Лист1!A121)</f>
        <v>129</v>
      </c>
      <c r="F121" s="7">
        <f>SUMIFS(Лист2!$D:$D,Лист2!$B:$B,Лист1!$B121,Лист2!$A:$A,Лист1!$A121)</f>
        <v>17002</v>
      </c>
      <c r="G121" s="7">
        <f>SUMIFS(Лист2!$E:$E,Лист2!$B:$B,Лист1!$B121,Лист2!$A:$A,Лист1!$A121)</f>
        <v>15570</v>
      </c>
      <c r="H121" s="14">
        <f t="shared" si="2"/>
        <v>240723.38372093023</v>
      </c>
      <c r="I121">
        <f t="shared" si="3"/>
        <v>18</v>
      </c>
    </row>
    <row r="122" spans="1:9" ht="14.25" customHeight="1" x14ac:dyDescent="0.3">
      <c r="A122" s="5">
        <v>43963</v>
      </c>
      <c r="B122" s="6" t="s">
        <v>14</v>
      </c>
      <c r="C122" s="6">
        <v>281796</v>
      </c>
      <c r="D122" s="6">
        <v>29042520</v>
      </c>
      <c r="E122" s="7">
        <f>SUMIFS(Лист2!C:C,Лист2!B:B,Лист1!B122,Лист2!A:A,Лист1!A122)</f>
        <v>129</v>
      </c>
      <c r="F122" s="7">
        <f>SUMIFS(Лист2!$D:$D,Лист2!$B:$B,Лист1!$B122,Лист2!$A:$A,Лист1!$A122)</f>
        <v>16387</v>
      </c>
      <c r="G122" s="7">
        <f>SUMIFS(Лист2!$E:$E,Лист2!$B:$B,Лист1!$B122,Лист2!$A:$A,Лист1!$A122)</f>
        <v>15322</v>
      </c>
      <c r="H122" s="14">
        <f t="shared" si="2"/>
        <v>225135.81395348837</v>
      </c>
      <c r="I122">
        <f t="shared" si="3"/>
        <v>20</v>
      </c>
    </row>
    <row r="123" spans="1:9" ht="14.25" customHeight="1" x14ac:dyDescent="0.3">
      <c r="A123" s="8">
        <v>43972</v>
      </c>
      <c r="B123" s="9" t="s">
        <v>14</v>
      </c>
      <c r="C123" s="9">
        <v>288936</v>
      </c>
      <c r="D123" s="9">
        <v>27852900</v>
      </c>
      <c r="E123" s="7">
        <f>SUMIFS(Лист2!C:C,Лист2!B:B,Лист1!B123,Лист2!A:A,Лист1!A123)</f>
        <v>129</v>
      </c>
      <c r="F123" s="7">
        <f>SUMIFS(Лист2!$D:$D,Лист2!$B:$B,Лист1!$B123,Лист2!$A:$A,Лист1!$A123)</f>
        <v>16373</v>
      </c>
      <c r="G123" s="7">
        <f>SUMIFS(Лист2!$E:$E,Лист2!$B:$B,Лист1!$B123,Лист2!$A:$A,Лист1!$A123)</f>
        <v>15223</v>
      </c>
      <c r="H123" s="14">
        <f t="shared" si="2"/>
        <v>215913.95348837209</v>
      </c>
      <c r="I123">
        <f t="shared" si="3"/>
        <v>21</v>
      </c>
    </row>
    <row r="124" spans="1:9" ht="14.25" customHeight="1" x14ac:dyDescent="0.3">
      <c r="A124" s="5">
        <v>43971</v>
      </c>
      <c r="B124" s="6" t="s">
        <v>14</v>
      </c>
      <c r="C124" s="6">
        <v>300151.5</v>
      </c>
      <c r="D124" s="6">
        <v>29368771.617449999</v>
      </c>
      <c r="E124" s="7">
        <f>SUMIFS(Лист2!C:C,Лист2!B:B,Лист1!B124,Лист2!A:A,Лист1!A124)</f>
        <v>129</v>
      </c>
      <c r="F124" s="7">
        <f>SUMIFS(Лист2!$D:$D,Лист2!$B:$B,Лист1!$B124,Лист2!$A:$A,Лист1!$A124)</f>
        <v>17095</v>
      </c>
      <c r="G124" s="7">
        <f>SUMIFS(Лист2!$E:$E,Лист2!$B:$B,Лист1!$B124,Лист2!$A:$A,Лист1!$A124)</f>
        <v>15919</v>
      </c>
      <c r="H124" s="14">
        <f t="shared" si="2"/>
        <v>227664.8962593023</v>
      </c>
      <c r="I124">
        <f t="shared" si="3"/>
        <v>21</v>
      </c>
    </row>
    <row r="125" spans="1:9" ht="14.25" customHeight="1" x14ac:dyDescent="0.3">
      <c r="A125" s="8">
        <v>43956</v>
      </c>
      <c r="B125" s="9" t="s">
        <v>14</v>
      </c>
      <c r="C125" s="9">
        <v>262734</v>
      </c>
      <c r="D125" s="9">
        <v>27278441.145</v>
      </c>
      <c r="E125" s="7">
        <f>SUMIFS(Лист2!C:C,Лист2!B:B,Лист1!B125,Лист2!A:A,Лист1!A125)</f>
        <v>129</v>
      </c>
      <c r="F125" s="7">
        <f>SUMIFS(Лист2!$D:$D,Лист2!$B:$B,Лист1!$B125,Лист2!$A:$A,Лист1!$A125)</f>
        <v>15665</v>
      </c>
      <c r="G125" s="7">
        <f>SUMIFS(Лист2!$E:$E,Лист2!$B:$B,Лист1!$B125,Лист2!$A:$A,Лист1!$A125)</f>
        <v>14501</v>
      </c>
      <c r="H125" s="14">
        <f t="shared" si="2"/>
        <v>211460.78406976743</v>
      </c>
      <c r="I125">
        <f t="shared" si="3"/>
        <v>19</v>
      </c>
    </row>
    <row r="126" spans="1:9" ht="14.25" customHeight="1" x14ac:dyDescent="0.3">
      <c r="A126" s="5">
        <v>43949</v>
      </c>
      <c r="B126" s="6" t="s">
        <v>14</v>
      </c>
      <c r="C126" s="6">
        <v>286002</v>
      </c>
      <c r="D126" s="6">
        <v>29159032.5</v>
      </c>
      <c r="E126" s="7">
        <f>SUMIFS(Лист2!C:C,Лист2!B:B,Лист1!B126,Лист2!A:A,Лист1!A126)</f>
        <v>128</v>
      </c>
      <c r="F126" s="7">
        <f>SUMIFS(Лист2!$D:$D,Лист2!$B:$B,Лист1!$B126,Лист2!$A:$A,Лист1!$A126)</f>
        <v>16450</v>
      </c>
      <c r="G126" s="7">
        <f>SUMIFS(Лист2!$E:$E,Лист2!$B:$B,Лист1!$B126,Лист2!$A:$A,Лист1!$A126)</f>
        <v>15320</v>
      </c>
      <c r="H126" s="14">
        <f t="shared" si="2"/>
        <v>227804.94140625</v>
      </c>
      <c r="I126">
        <f t="shared" si="3"/>
        <v>18</v>
      </c>
    </row>
    <row r="127" spans="1:9" ht="14.25" customHeight="1" x14ac:dyDescent="0.3">
      <c r="A127" s="8">
        <v>43964</v>
      </c>
      <c r="B127" s="9" t="s">
        <v>14</v>
      </c>
      <c r="C127" s="9">
        <v>258459</v>
      </c>
      <c r="D127" s="9">
        <v>26467453.5</v>
      </c>
      <c r="E127" s="7">
        <f>SUMIFS(Лист2!C:C,Лист2!B:B,Лист1!B127,Лист2!A:A,Лист1!A127)</f>
        <v>129</v>
      </c>
      <c r="F127" s="7">
        <f>SUMIFS(Лист2!$D:$D,Лист2!$B:$B,Лист1!$B127,Лист2!$A:$A,Лист1!$A127)</f>
        <v>15304</v>
      </c>
      <c r="G127" s="7">
        <f>SUMIFS(Лист2!$E:$E,Лист2!$B:$B,Лист1!$B127,Лист2!$A:$A,Лист1!$A127)</f>
        <v>14315</v>
      </c>
      <c r="H127" s="14">
        <f t="shared" si="2"/>
        <v>205174.05813953487</v>
      </c>
      <c r="I127">
        <f t="shared" si="3"/>
        <v>20</v>
      </c>
    </row>
    <row r="128" spans="1:9" ht="14.25" customHeight="1" x14ac:dyDescent="0.3">
      <c r="A128" s="5">
        <v>43954</v>
      </c>
      <c r="B128" s="6" t="s">
        <v>14</v>
      </c>
      <c r="C128" s="6">
        <v>274083</v>
      </c>
      <c r="D128" s="6">
        <v>28427001</v>
      </c>
      <c r="E128" s="7">
        <f>SUMIFS(Лист2!C:C,Лист2!B:B,Лист1!B128,Лист2!A:A,Лист1!A128)</f>
        <v>129</v>
      </c>
      <c r="F128" s="7">
        <f>SUMIFS(Лист2!$D:$D,Лист2!$B:$B,Лист1!$B128,Лист2!$A:$A,Лист1!$A128)</f>
        <v>15778</v>
      </c>
      <c r="G128" s="7">
        <f>SUMIFS(Лист2!$E:$E,Лист2!$B:$B,Лист1!$B128,Лист2!$A:$A,Лист1!$A128)</f>
        <v>14624</v>
      </c>
      <c r="H128" s="14">
        <f t="shared" si="2"/>
        <v>220364.34883720931</v>
      </c>
      <c r="I128">
        <f t="shared" si="3"/>
        <v>18</v>
      </c>
    </row>
    <row r="129" spans="1:9" ht="14.25" customHeight="1" x14ac:dyDescent="0.3">
      <c r="A129" s="8">
        <v>43957</v>
      </c>
      <c r="B129" s="9" t="s">
        <v>14</v>
      </c>
      <c r="C129" s="9">
        <v>277512</v>
      </c>
      <c r="D129" s="9">
        <v>28770810.105599999</v>
      </c>
      <c r="E129" s="7">
        <f>SUMIFS(Лист2!C:C,Лист2!B:B,Лист1!B129,Лист2!A:A,Лист1!A129)</f>
        <v>129</v>
      </c>
      <c r="F129" s="7">
        <f>SUMIFS(Лист2!$D:$D,Лист2!$B:$B,Лист1!$B129,Лист2!$A:$A,Лист1!$A129)</f>
        <v>16376</v>
      </c>
      <c r="G129" s="7">
        <f>SUMIFS(Лист2!$E:$E,Лист2!$B:$B,Лист1!$B129,Лист2!$A:$A,Лист1!$A129)</f>
        <v>15197</v>
      </c>
      <c r="H129" s="14">
        <f t="shared" si="2"/>
        <v>223029.53570232558</v>
      </c>
      <c r="I129">
        <f t="shared" si="3"/>
        <v>19</v>
      </c>
    </row>
    <row r="130" spans="1:9" ht="14.25" customHeight="1" x14ac:dyDescent="0.3">
      <c r="A130" s="5">
        <v>43974</v>
      </c>
      <c r="B130" s="6" t="s">
        <v>14</v>
      </c>
      <c r="C130" s="6">
        <v>356982</v>
      </c>
      <c r="D130" s="6">
        <v>35103926.711549997</v>
      </c>
      <c r="E130" s="7">
        <f>SUMIFS(Лист2!C:C,Лист2!B:B,Лист1!B130,Лист2!A:A,Лист1!A130)</f>
        <v>129</v>
      </c>
      <c r="F130" s="7">
        <f>SUMIFS(Лист2!$D:$D,Лист2!$B:$B,Лист1!$B130,Лист2!$A:$A,Лист1!$A130)</f>
        <v>19856</v>
      </c>
      <c r="G130" s="7">
        <f>SUMIFS(Лист2!$E:$E,Лист2!$B:$B,Лист1!$B130,Лист2!$A:$A,Лист1!$A130)</f>
        <v>18325</v>
      </c>
      <c r="H130" s="14">
        <f t="shared" si="2"/>
        <v>272123.46288023255</v>
      </c>
      <c r="I130">
        <f t="shared" si="3"/>
        <v>21</v>
      </c>
    </row>
    <row r="131" spans="1:9" ht="14.25" customHeight="1" x14ac:dyDescent="0.3">
      <c r="A131" s="8">
        <v>43976</v>
      </c>
      <c r="B131" s="9" t="s">
        <v>14</v>
      </c>
      <c r="C131" s="9">
        <v>266983.5</v>
      </c>
      <c r="D131" s="9">
        <v>27165913.5</v>
      </c>
      <c r="E131" s="7">
        <f>SUMIFS(Лист2!C:C,Лист2!B:B,Лист1!B131,Лист2!A:A,Лист1!A131)</f>
        <v>129</v>
      </c>
      <c r="F131" s="7">
        <f>SUMIFS(Лист2!$D:$D,Лист2!$B:$B,Лист1!$B131,Лист2!$A:$A,Лист1!$A131)</f>
        <v>15822</v>
      </c>
      <c r="G131" s="7">
        <f>SUMIFS(Лист2!$E:$E,Лист2!$B:$B,Лист1!$B131,Лист2!$A:$A,Лист1!$A131)</f>
        <v>14753</v>
      </c>
      <c r="H131" s="14">
        <f t="shared" ref="H131:H194" si="4">D131/E131</f>
        <v>210588.47674418605</v>
      </c>
      <c r="I131">
        <f t="shared" ref="I131:I194" si="5">WEEKNUM(A131,2)</f>
        <v>22</v>
      </c>
    </row>
    <row r="132" spans="1:9" ht="14.25" customHeight="1" x14ac:dyDescent="0.3">
      <c r="A132" s="5">
        <v>43951</v>
      </c>
      <c r="B132" s="6" t="s">
        <v>14</v>
      </c>
      <c r="C132" s="6">
        <v>311131.5</v>
      </c>
      <c r="D132" s="6">
        <v>32418879</v>
      </c>
      <c r="E132" s="7">
        <f>SUMIFS(Лист2!C:C,Лист2!B:B,Лист1!B132,Лист2!A:A,Лист1!A132)</f>
        <v>129</v>
      </c>
      <c r="F132" s="7">
        <f>SUMIFS(Лист2!$D:$D,Лист2!$B:$B,Лист1!$B132,Лист2!$A:$A,Лист1!$A132)</f>
        <v>18042</v>
      </c>
      <c r="G132" s="7">
        <f>SUMIFS(Лист2!$E:$E,Лист2!$B:$B,Лист1!$B132,Лист2!$A:$A,Лист1!$A132)</f>
        <v>16631</v>
      </c>
      <c r="H132" s="14">
        <f t="shared" si="4"/>
        <v>251309.13953488372</v>
      </c>
      <c r="I132">
        <f t="shared" si="5"/>
        <v>18</v>
      </c>
    </row>
    <row r="133" spans="1:9" ht="14.25" customHeight="1" x14ac:dyDescent="0.3">
      <c r="A133" s="8">
        <v>43961</v>
      </c>
      <c r="B133" s="9" t="s">
        <v>14</v>
      </c>
      <c r="C133" s="9">
        <v>287206.5</v>
      </c>
      <c r="D133" s="9">
        <v>29536176.10605</v>
      </c>
      <c r="E133" s="7">
        <f>SUMIFS(Лист2!C:C,Лист2!B:B,Лист1!B133,Лист2!A:A,Лист1!A133)</f>
        <v>129</v>
      </c>
      <c r="F133" s="7">
        <f>SUMIFS(Лист2!$D:$D,Лист2!$B:$B,Лист1!$B133,Лист2!$A:$A,Лист1!$A133)</f>
        <v>16437</v>
      </c>
      <c r="G133" s="7">
        <f>SUMIFS(Лист2!$E:$E,Лист2!$B:$B,Лист1!$B133,Лист2!$A:$A,Лист1!$A133)</f>
        <v>15285</v>
      </c>
      <c r="H133" s="14">
        <f t="shared" si="4"/>
        <v>228962.6054732558</v>
      </c>
      <c r="I133">
        <f t="shared" si="5"/>
        <v>19</v>
      </c>
    </row>
    <row r="134" spans="1:9" ht="14.25" customHeight="1" x14ac:dyDescent="0.3">
      <c r="A134" s="5">
        <v>43959</v>
      </c>
      <c r="B134" s="6" t="s">
        <v>14</v>
      </c>
      <c r="C134" s="6">
        <v>370092</v>
      </c>
      <c r="D134" s="6">
        <v>38091556.5</v>
      </c>
      <c r="E134" s="7">
        <f>SUMIFS(Лист2!C:C,Лист2!B:B,Лист1!B134,Лист2!A:A,Лист1!A134)</f>
        <v>129</v>
      </c>
      <c r="F134" s="7">
        <f>SUMIFS(Лист2!$D:$D,Лист2!$B:$B,Лист1!$B134,Лист2!$A:$A,Лист1!$A134)</f>
        <v>20452</v>
      </c>
      <c r="G134" s="7">
        <f>SUMIFS(Лист2!$E:$E,Лист2!$B:$B,Лист1!$B134,Лист2!$A:$A,Лист1!$A134)</f>
        <v>18857</v>
      </c>
      <c r="H134" s="14">
        <f t="shared" si="4"/>
        <v>295283.38372093026</v>
      </c>
      <c r="I134">
        <f t="shared" si="5"/>
        <v>19</v>
      </c>
    </row>
    <row r="135" spans="1:9" ht="14.25" customHeight="1" x14ac:dyDescent="0.3">
      <c r="A135" s="8">
        <v>43958</v>
      </c>
      <c r="B135" s="9" t="s">
        <v>14</v>
      </c>
      <c r="C135" s="9">
        <v>247813.5</v>
      </c>
      <c r="D135" s="9">
        <v>25325271</v>
      </c>
      <c r="E135" s="7">
        <f>SUMIFS(Лист2!C:C,Лист2!B:B,Лист1!B135,Лист2!A:A,Лист1!A135)</f>
        <v>129</v>
      </c>
      <c r="F135" s="7">
        <f>SUMIFS(Лист2!$D:$D,Лист2!$B:$B,Лист1!$B135,Лист2!$A:$A,Лист1!$A135)</f>
        <v>14582</v>
      </c>
      <c r="G135" s="7">
        <f>SUMIFS(Лист2!$E:$E,Лист2!$B:$B,Лист1!$B135,Лист2!$A:$A,Лист1!$A135)</f>
        <v>13512</v>
      </c>
      <c r="H135" s="14">
        <f t="shared" si="4"/>
        <v>196319.93023255814</v>
      </c>
      <c r="I135">
        <f t="shared" si="5"/>
        <v>19</v>
      </c>
    </row>
    <row r="136" spans="1:9" ht="14.25" customHeight="1" x14ac:dyDescent="0.3">
      <c r="A136" s="5">
        <v>43975</v>
      </c>
      <c r="B136" s="6" t="s">
        <v>14</v>
      </c>
      <c r="C136" s="6">
        <v>287740.5</v>
      </c>
      <c r="D136" s="6">
        <v>28188534</v>
      </c>
      <c r="E136" s="7">
        <f>SUMIFS(Лист2!C:C,Лист2!B:B,Лист1!B136,Лист2!A:A,Лист1!A136)</f>
        <v>129</v>
      </c>
      <c r="F136" s="7">
        <f>SUMIFS(Лист2!$D:$D,Лист2!$B:$B,Лист1!$B136,Лист2!$A:$A,Лист1!$A136)</f>
        <v>16432</v>
      </c>
      <c r="G136" s="7">
        <f>SUMIFS(Лист2!$E:$E,Лист2!$B:$B,Лист1!$B136,Лист2!$A:$A,Лист1!$A136)</f>
        <v>15345</v>
      </c>
      <c r="H136" s="14">
        <f t="shared" si="4"/>
        <v>218515.76744186046</v>
      </c>
      <c r="I136">
        <f t="shared" si="5"/>
        <v>21</v>
      </c>
    </row>
    <row r="137" spans="1:9" ht="14.25" customHeight="1" x14ac:dyDescent="0.3">
      <c r="A137" s="8">
        <v>43967</v>
      </c>
      <c r="B137" s="9" t="s">
        <v>15</v>
      </c>
      <c r="C137" s="9">
        <v>408810</v>
      </c>
      <c r="D137" s="9">
        <v>42323631</v>
      </c>
      <c r="E137" s="7">
        <f>SUMIFS(Лист2!C:C,Лист2!B:B,Лист1!B137,Лист2!A:A,Лист1!A137)</f>
        <v>125</v>
      </c>
      <c r="F137" s="7">
        <f>SUMIFS(Лист2!$D:$D,Лист2!$B:$B,Лист1!$B137,Лист2!$A:$A,Лист1!$A137)</f>
        <v>22291</v>
      </c>
      <c r="G137" s="7">
        <f>SUMIFS(Лист2!$E:$E,Лист2!$B:$B,Лист1!$B137,Лист2!$A:$A,Лист1!$A137)</f>
        <v>20635</v>
      </c>
      <c r="H137" s="14">
        <f t="shared" si="4"/>
        <v>338589.04800000001</v>
      </c>
      <c r="I137">
        <f t="shared" si="5"/>
        <v>20</v>
      </c>
    </row>
    <row r="138" spans="1:9" ht="14.25" customHeight="1" x14ac:dyDescent="0.3">
      <c r="A138" s="5">
        <v>43970</v>
      </c>
      <c r="B138" s="6" t="s">
        <v>15</v>
      </c>
      <c r="C138" s="6">
        <v>362536.5</v>
      </c>
      <c r="D138" s="6">
        <v>37023243</v>
      </c>
      <c r="E138" s="7">
        <f>SUMIFS(Лист2!C:C,Лист2!B:B,Лист1!B138,Лист2!A:A,Лист1!A138)</f>
        <v>125</v>
      </c>
      <c r="F138" s="7">
        <f>SUMIFS(Лист2!$D:$D,Лист2!$B:$B,Лист1!$B138,Лист2!$A:$A,Лист1!$A138)</f>
        <v>20771</v>
      </c>
      <c r="G138" s="7">
        <f>SUMIFS(Лист2!$E:$E,Лист2!$B:$B,Лист1!$B138,Лист2!$A:$A,Лист1!$A138)</f>
        <v>19338</v>
      </c>
      <c r="H138" s="14">
        <f t="shared" si="4"/>
        <v>296185.94400000002</v>
      </c>
      <c r="I138">
        <f t="shared" si="5"/>
        <v>21</v>
      </c>
    </row>
    <row r="139" spans="1:9" ht="14.25" customHeight="1" x14ac:dyDescent="0.3">
      <c r="A139" s="8">
        <v>43968</v>
      </c>
      <c r="B139" s="9" t="s">
        <v>15</v>
      </c>
      <c r="C139" s="9">
        <v>357072</v>
      </c>
      <c r="D139" s="9">
        <v>36834567</v>
      </c>
      <c r="E139" s="7">
        <f>SUMIFS(Лист2!C:C,Лист2!B:B,Лист1!B139,Лист2!A:A,Лист1!A139)</f>
        <v>125</v>
      </c>
      <c r="F139" s="7">
        <f>SUMIFS(Лист2!$D:$D,Лист2!$B:$B,Лист1!$B139,Лист2!$A:$A,Лист1!$A139)</f>
        <v>20079</v>
      </c>
      <c r="G139" s="7">
        <f>SUMIFS(Лист2!$E:$E,Лист2!$B:$B,Лист1!$B139,Лист2!$A:$A,Лист1!$A139)</f>
        <v>18721</v>
      </c>
      <c r="H139" s="14">
        <f t="shared" si="4"/>
        <v>294676.53600000002</v>
      </c>
      <c r="I139">
        <f t="shared" si="5"/>
        <v>20</v>
      </c>
    </row>
    <row r="140" spans="1:9" ht="14.25" customHeight="1" x14ac:dyDescent="0.3">
      <c r="A140" s="5">
        <v>43960</v>
      </c>
      <c r="B140" s="6" t="s">
        <v>15</v>
      </c>
      <c r="C140" s="6">
        <v>359214</v>
      </c>
      <c r="D140" s="6">
        <v>38693427</v>
      </c>
      <c r="E140" s="7">
        <f>SUMIFS(Лист2!C:C,Лист2!B:B,Лист1!B140,Лист2!A:A,Лист1!A140)</f>
        <v>125</v>
      </c>
      <c r="F140" s="7">
        <f>SUMIFS(Лист2!$D:$D,Лист2!$B:$B,Лист1!$B140,Лист2!$A:$A,Лист1!$A140)</f>
        <v>20132</v>
      </c>
      <c r="G140" s="7">
        <f>SUMIFS(Лист2!$E:$E,Лист2!$B:$B,Лист1!$B140,Лист2!$A:$A,Лист1!$A140)</f>
        <v>18617</v>
      </c>
      <c r="H140" s="14">
        <f t="shared" si="4"/>
        <v>309547.41600000003</v>
      </c>
      <c r="I140">
        <f t="shared" si="5"/>
        <v>19</v>
      </c>
    </row>
    <row r="141" spans="1:9" ht="14.25" customHeight="1" x14ac:dyDescent="0.3">
      <c r="A141" s="8">
        <v>43955</v>
      </c>
      <c r="B141" s="9" t="s">
        <v>15</v>
      </c>
      <c r="C141" s="9">
        <v>360255</v>
      </c>
      <c r="D141" s="9">
        <v>38406954</v>
      </c>
      <c r="E141" s="7">
        <f>SUMIFS(Лист2!C:C,Лист2!B:B,Лист1!B141,Лист2!A:A,Лист1!A141)</f>
        <v>125</v>
      </c>
      <c r="F141" s="7">
        <f>SUMIFS(Лист2!$D:$D,Лист2!$B:$B,Лист1!$B141,Лист2!$A:$A,Лист1!$A141)</f>
        <v>20495</v>
      </c>
      <c r="G141" s="7">
        <f>SUMIFS(Лист2!$E:$E,Лист2!$B:$B,Лист1!$B141,Лист2!$A:$A,Лист1!$A141)</f>
        <v>18964</v>
      </c>
      <c r="H141" s="14">
        <f t="shared" si="4"/>
        <v>307255.63199999998</v>
      </c>
      <c r="I141">
        <f t="shared" si="5"/>
        <v>19</v>
      </c>
    </row>
    <row r="142" spans="1:9" ht="14.25" customHeight="1" x14ac:dyDescent="0.3">
      <c r="A142" s="5">
        <v>43950</v>
      </c>
      <c r="B142" s="6" t="s">
        <v>15</v>
      </c>
      <c r="C142" s="6">
        <v>387220.5</v>
      </c>
      <c r="D142" s="6">
        <v>41559384</v>
      </c>
      <c r="E142" s="7">
        <f>SUMIFS(Лист2!C:C,Лист2!B:B,Лист1!B142,Лист2!A:A,Лист1!A142)</f>
        <v>125</v>
      </c>
      <c r="F142" s="7">
        <f>SUMIFS(Лист2!$D:$D,Лист2!$B:$B,Лист1!$B142,Лист2!$A:$A,Лист1!$A142)</f>
        <v>21863</v>
      </c>
      <c r="G142" s="7">
        <f>SUMIFS(Лист2!$E:$E,Лист2!$B:$B,Лист1!$B142,Лист2!$A:$A,Лист1!$A142)</f>
        <v>20160</v>
      </c>
      <c r="H142" s="14">
        <f t="shared" si="4"/>
        <v>332475.07199999999</v>
      </c>
      <c r="I142">
        <f t="shared" si="5"/>
        <v>18</v>
      </c>
    </row>
    <row r="143" spans="1:9" ht="14.25" customHeight="1" x14ac:dyDescent="0.3">
      <c r="A143" s="8">
        <v>43953</v>
      </c>
      <c r="B143" s="9" t="s">
        <v>15</v>
      </c>
      <c r="C143" s="9">
        <v>296580</v>
      </c>
      <c r="D143" s="9">
        <v>31843737</v>
      </c>
      <c r="E143" s="7">
        <f>SUMIFS(Лист2!C:C,Лист2!B:B,Лист1!B143,Лист2!A:A,Лист1!A143)</f>
        <v>125</v>
      </c>
      <c r="F143" s="7">
        <f>SUMIFS(Лист2!$D:$D,Лист2!$B:$B,Лист1!$B143,Лист2!$A:$A,Лист1!$A143)</f>
        <v>16932</v>
      </c>
      <c r="G143" s="7">
        <f>SUMIFS(Лист2!$E:$E,Лист2!$B:$B,Лист1!$B143,Лист2!$A:$A,Лист1!$A143)</f>
        <v>15601</v>
      </c>
      <c r="H143" s="14">
        <f t="shared" si="4"/>
        <v>254749.89600000001</v>
      </c>
      <c r="I143">
        <f t="shared" si="5"/>
        <v>18</v>
      </c>
    </row>
    <row r="144" spans="1:9" ht="14.25" customHeight="1" x14ac:dyDescent="0.3">
      <c r="A144" s="5">
        <v>43977</v>
      </c>
      <c r="B144" s="6" t="s">
        <v>15</v>
      </c>
      <c r="C144" s="6">
        <v>369861</v>
      </c>
      <c r="D144" s="6">
        <v>38365960.5</v>
      </c>
      <c r="E144" s="7">
        <f>SUMIFS(Лист2!C:C,Лист2!B:B,Лист1!B144,Лист2!A:A,Лист1!A144)</f>
        <v>124</v>
      </c>
      <c r="F144" s="7">
        <f>SUMIFS(Лист2!$D:$D,Лист2!$B:$B,Лист1!$B144,Лист2!$A:$A,Лист1!$A144)</f>
        <v>21153</v>
      </c>
      <c r="G144" s="7">
        <f>SUMIFS(Лист2!$E:$E,Лист2!$B:$B,Лист1!$B144,Лист2!$A:$A,Лист1!$A144)</f>
        <v>19673</v>
      </c>
      <c r="H144" s="14">
        <f t="shared" si="4"/>
        <v>309402.90725806454</v>
      </c>
      <c r="I144">
        <f t="shared" si="5"/>
        <v>22</v>
      </c>
    </row>
    <row r="145" spans="1:9" ht="14.25" customHeight="1" x14ac:dyDescent="0.3">
      <c r="A145" s="8">
        <v>43952</v>
      </c>
      <c r="B145" s="9" t="s">
        <v>15</v>
      </c>
      <c r="C145" s="9">
        <v>372504</v>
      </c>
      <c r="D145" s="9">
        <v>40077193.5</v>
      </c>
      <c r="E145" s="7">
        <f>SUMIFS(Лист2!C:C,Лист2!B:B,Лист1!B145,Лист2!A:A,Лист1!A145)</f>
        <v>125</v>
      </c>
      <c r="F145" s="7">
        <f>SUMIFS(Лист2!$D:$D,Лист2!$B:$B,Лист1!$B145,Лист2!$A:$A,Лист1!$A145)</f>
        <v>20602</v>
      </c>
      <c r="G145" s="7">
        <f>SUMIFS(Лист2!$E:$E,Лист2!$B:$B,Лист1!$B145,Лист2!$A:$A,Лист1!$A145)</f>
        <v>18845</v>
      </c>
      <c r="H145" s="14">
        <f t="shared" si="4"/>
        <v>320617.54800000001</v>
      </c>
      <c r="I145">
        <f t="shared" si="5"/>
        <v>18</v>
      </c>
    </row>
    <row r="146" spans="1:9" ht="14.25" customHeight="1" x14ac:dyDescent="0.3">
      <c r="A146" s="5">
        <v>43963</v>
      </c>
      <c r="B146" s="6" t="s">
        <v>15</v>
      </c>
      <c r="C146" s="6">
        <v>373392</v>
      </c>
      <c r="D146" s="6">
        <v>39578577</v>
      </c>
      <c r="E146" s="7">
        <f>SUMIFS(Лист2!C:C,Лист2!B:B,Лист1!B146,Лист2!A:A,Лист1!A146)</f>
        <v>125</v>
      </c>
      <c r="F146" s="7">
        <f>SUMIFS(Лист2!$D:$D,Лист2!$B:$B,Лист1!$B146,Лист2!$A:$A,Лист1!$A146)</f>
        <v>21106</v>
      </c>
      <c r="G146" s="7">
        <f>SUMIFS(Лист2!$E:$E,Лист2!$B:$B,Лист1!$B146,Лист2!$A:$A,Лист1!$A146)</f>
        <v>19651</v>
      </c>
      <c r="H146" s="14">
        <f t="shared" si="4"/>
        <v>316628.61599999998</v>
      </c>
      <c r="I146">
        <f t="shared" si="5"/>
        <v>20</v>
      </c>
    </row>
    <row r="147" spans="1:9" ht="14.25" customHeight="1" x14ac:dyDescent="0.3">
      <c r="A147" s="8">
        <v>43972</v>
      </c>
      <c r="B147" s="9" t="s">
        <v>15</v>
      </c>
      <c r="C147" s="9">
        <v>378043.5</v>
      </c>
      <c r="D147" s="9">
        <v>37902156.57</v>
      </c>
      <c r="E147" s="7">
        <f>SUMIFS(Лист2!C:C,Лист2!B:B,Лист1!B147,Лист2!A:A,Лист1!A147)</f>
        <v>125</v>
      </c>
      <c r="F147" s="7">
        <f>SUMIFS(Лист2!$D:$D,Лист2!$B:$B,Лист1!$B147,Лист2!$A:$A,Лист1!$A147)</f>
        <v>20911</v>
      </c>
      <c r="G147" s="7">
        <f>SUMIFS(Лист2!$E:$E,Лист2!$B:$B,Лист1!$B147,Лист2!$A:$A,Лист1!$A147)</f>
        <v>19358</v>
      </c>
      <c r="H147" s="14">
        <f t="shared" si="4"/>
        <v>303217.25255999999</v>
      </c>
      <c r="I147">
        <f t="shared" si="5"/>
        <v>21</v>
      </c>
    </row>
    <row r="148" spans="1:9" ht="14.25" customHeight="1" x14ac:dyDescent="0.3">
      <c r="A148" s="5">
        <v>43971</v>
      </c>
      <c r="B148" s="6" t="s">
        <v>15</v>
      </c>
      <c r="C148" s="6">
        <v>388668</v>
      </c>
      <c r="D148" s="6">
        <v>39639309</v>
      </c>
      <c r="E148" s="7">
        <f>SUMIFS(Лист2!C:C,Лист2!B:B,Лист1!B148,Лист2!A:A,Лист1!A148)</f>
        <v>125</v>
      </c>
      <c r="F148" s="7">
        <f>SUMIFS(Лист2!$D:$D,Лист2!$B:$B,Лист1!$B148,Лист2!$A:$A,Лист1!$A148)</f>
        <v>21674</v>
      </c>
      <c r="G148" s="7">
        <f>SUMIFS(Лист2!$E:$E,Лист2!$B:$B,Лист1!$B148,Лист2!$A:$A,Лист1!$A148)</f>
        <v>20155</v>
      </c>
      <c r="H148" s="14">
        <f t="shared" si="4"/>
        <v>317114.47200000001</v>
      </c>
      <c r="I148">
        <f t="shared" si="5"/>
        <v>21</v>
      </c>
    </row>
    <row r="149" spans="1:9" ht="14.25" customHeight="1" x14ac:dyDescent="0.3">
      <c r="A149" s="8">
        <v>43956</v>
      </c>
      <c r="B149" s="9" t="s">
        <v>15</v>
      </c>
      <c r="C149" s="9">
        <v>333792</v>
      </c>
      <c r="D149" s="9">
        <v>35671734</v>
      </c>
      <c r="E149" s="7">
        <f>SUMIFS(Лист2!C:C,Лист2!B:B,Лист1!B149,Лист2!A:A,Лист1!A149)</f>
        <v>125</v>
      </c>
      <c r="F149" s="7">
        <f>SUMIFS(Лист2!$D:$D,Лист2!$B:$B,Лист1!$B149,Лист2!$A:$A,Лист1!$A149)</f>
        <v>18944</v>
      </c>
      <c r="G149" s="7">
        <f>SUMIFS(Лист2!$E:$E,Лист2!$B:$B,Лист1!$B149,Лист2!$A:$A,Лист1!$A149)</f>
        <v>17541</v>
      </c>
      <c r="H149" s="14">
        <f t="shared" si="4"/>
        <v>285373.87199999997</v>
      </c>
      <c r="I149">
        <f t="shared" si="5"/>
        <v>19</v>
      </c>
    </row>
    <row r="150" spans="1:9" ht="14.25" customHeight="1" x14ac:dyDescent="0.3">
      <c r="A150" s="5">
        <v>43949</v>
      </c>
      <c r="B150" s="6" t="s">
        <v>15</v>
      </c>
      <c r="C150" s="6">
        <v>376060.5</v>
      </c>
      <c r="D150" s="6">
        <v>39918028.5</v>
      </c>
      <c r="E150" s="7">
        <f>SUMIFS(Лист2!C:C,Лист2!B:B,Лист1!B150,Лист2!A:A,Лист1!A150)</f>
        <v>125</v>
      </c>
      <c r="F150" s="7">
        <f>SUMIFS(Лист2!$D:$D,Лист2!$B:$B,Лист1!$B150,Лист2!$A:$A,Лист1!$A150)</f>
        <v>20914</v>
      </c>
      <c r="G150" s="7">
        <f>SUMIFS(Лист2!$E:$E,Лист2!$B:$B,Лист1!$B150,Лист2!$A:$A,Лист1!$A150)</f>
        <v>19479</v>
      </c>
      <c r="H150" s="14">
        <f t="shared" si="4"/>
        <v>319344.228</v>
      </c>
      <c r="I150">
        <f t="shared" si="5"/>
        <v>18</v>
      </c>
    </row>
    <row r="151" spans="1:9" ht="14.25" customHeight="1" x14ac:dyDescent="0.3">
      <c r="A151" s="8">
        <v>43964</v>
      </c>
      <c r="B151" s="9" t="s">
        <v>15</v>
      </c>
      <c r="C151" s="9">
        <v>350068.5</v>
      </c>
      <c r="D151" s="9">
        <v>37197115.5</v>
      </c>
      <c r="E151" s="7">
        <f>SUMIFS(Лист2!C:C,Лист2!B:B,Лист1!B151,Лист2!A:A,Лист1!A151)</f>
        <v>125</v>
      </c>
      <c r="F151" s="7">
        <f>SUMIFS(Лист2!$D:$D,Лист2!$B:$B,Лист1!$B151,Лист2!$A:$A,Лист1!$A151)</f>
        <v>19965</v>
      </c>
      <c r="G151" s="7">
        <f>SUMIFS(Лист2!$E:$E,Лист2!$B:$B,Лист1!$B151,Лист2!$A:$A,Лист1!$A151)</f>
        <v>18573</v>
      </c>
      <c r="H151" s="14">
        <f t="shared" si="4"/>
        <v>297576.924</v>
      </c>
      <c r="I151">
        <f t="shared" si="5"/>
        <v>20</v>
      </c>
    </row>
    <row r="152" spans="1:9" ht="14.25" customHeight="1" x14ac:dyDescent="0.3">
      <c r="A152" s="5">
        <v>43982</v>
      </c>
      <c r="B152" s="6" t="s">
        <v>14</v>
      </c>
      <c r="C152" s="6">
        <v>294337.5</v>
      </c>
      <c r="D152" s="6">
        <v>29327766</v>
      </c>
      <c r="E152" s="7">
        <f>SUMIFS(Лист2!C:C,Лист2!B:B,Лист1!B152,Лист2!A:A,Лист1!A152)</f>
        <v>129</v>
      </c>
      <c r="F152" s="7">
        <f>SUMIFS(Лист2!$D:$D,Лист2!$B:$B,Лист1!$B152,Лист2!$A:$A,Лист1!$A152)</f>
        <v>17235</v>
      </c>
      <c r="G152" s="7">
        <f>SUMIFS(Лист2!$E:$E,Лист2!$B:$B,Лист1!$B152,Лист2!$A:$A,Лист1!$A152)</f>
        <v>16052</v>
      </c>
      <c r="H152" s="14">
        <f t="shared" si="4"/>
        <v>227347.02325581395</v>
      </c>
      <c r="I152">
        <f t="shared" si="5"/>
        <v>22</v>
      </c>
    </row>
    <row r="153" spans="1:9" ht="14.25" customHeight="1" x14ac:dyDescent="0.3">
      <c r="A153" s="8">
        <v>43954</v>
      </c>
      <c r="B153" s="9" t="s">
        <v>15</v>
      </c>
      <c r="C153" s="9">
        <v>342666</v>
      </c>
      <c r="D153" s="9">
        <v>36631999.5</v>
      </c>
      <c r="E153" s="7">
        <f>SUMIFS(Лист2!C:C,Лист2!B:B,Лист1!B153,Лист2!A:A,Лист1!A153)</f>
        <v>125</v>
      </c>
      <c r="F153" s="7">
        <f>SUMIFS(Лист2!$D:$D,Лист2!$B:$B,Лист1!$B153,Лист2!$A:$A,Лист1!$A153)</f>
        <v>18861</v>
      </c>
      <c r="G153" s="7">
        <f>SUMIFS(Лист2!$E:$E,Лист2!$B:$B,Лист1!$B153,Лист2!$A:$A,Лист1!$A153)</f>
        <v>17420</v>
      </c>
      <c r="H153" s="14">
        <f t="shared" si="4"/>
        <v>293055.99599999998</v>
      </c>
      <c r="I153">
        <f t="shared" si="5"/>
        <v>18</v>
      </c>
    </row>
    <row r="154" spans="1:9" ht="14.25" customHeight="1" x14ac:dyDescent="0.3">
      <c r="A154" s="5">
        <v>43981</v>
      </c>
      <c r="B154" s="6" t="s">
        <v>14</v>
      </c>
      <c r="C154" s="6">
        <v>364882.5</v>
      </c>
      <c r="D154" s="6">
        <v>35724493.5</v>
      </c>
      <c r="E154" s="7">
        <f>SUMIFS(Лист2!C:C,Лист2!B:B,Лист1!B154,Лист2!A:A,Лист1!A154)</f>
        <v>129</v>
      </c>
      <c r="F154" s="7">
        <f>SUMIFS(Лист2!$D:$D,Лист2!$B:$B,Лист1!$B154,Лист2!$A:$A,Лист1!$A154)</f>
        <v>20243</v>
      </c>
      <c r="G154" s="7">
        <f>SUMIFS(Лист2!$E:$E,Лист2!$B:$B,Лист1!$B154,Лист2!$A:$A,Лист1!$A154)</f>
        <v>18711</v>
      </c>
      <c r="H154" s="14">
        <f t="shared" si="4"/>
        <v>276934.0581395349</v>
      </c>
      <c r="I154">
        <f t="shared" si="5"/>
        <v>22</v>
      </c>
    </row>
    <row r="155" spans="1:9" ht="14.25" customHeight="1" x14ac:dyDescent="0.3">
      <c r="A155" s="8">
        <v>43957</v>
      </c>
      <c r="B155" s="9" t="s">
        <v>15</v>
      </c>
      <c r="C155" s="9">
        <v>355278</v>
      </c>
      <c r="D155" s="9">
        <v>38092344</v>
      </c>
      <c r="E155" s="7">
        <f>SUMIFS(Лист2!C:C,Лист2!B:B,Лист1!B155,Лист2!A:A,Лист1!A155)</f>
        <v>125</v>
      </c>
      <c r="F155" s="7">
        <f>SUMIFS(Лист2!$D:$D,Лист2!$B:$B,Лист1!$B155,Лист2!$A:$A,Лист1!$A155)</f>
        <v>20218</v>
      </c>
      <c r="G155" s="7">
        <f>SUMIFS(Лист2!$E:$E,Лист2!$B:$B,Лист1!$B155,Лист2!$A:$A,Лист1!$A155)</f>
        <v>18647</v>
      </c>
      <c r="H155" s="14">
        <f t="shared" si="4"/>
        <v>304738.75199999998</v>
      </c>
      <c r="I155">
        <f t="shared" si="5"/>
        <v>19</v>
      </c>
    </row>
    <row r="156" spans="1:9" ht="14.25" customHeight="1" x14ac:dyDescent="0.3">
      <c r="A156" s="5">
        <v>43974</v>
      </c>
      <c r="B156" s="6" t="s">
        <v>15</v>
      </c>
      <c r="C156" s="6">
        <v>456885</v>
      </c>
      <c r="D156" s="6">
        <v>46408080</v>
      </c>
      <c r="E156" s="7">
        <f>SUMIFS(Лист2!C:C,Лист2!B:B,Лист1!B156,Лист2!A:A,Лист1!A156)</f>
        <v>125</v>
      </c>
      <c r="F156" s="7">
        <f>SUMIFS(Лист2!$D:$D,Лист2!$B:$B,Лист1!$B156,Лист2!$A:$A,Лист1!$A156)</f>
        <v>24574</v>
      </c>
      <c r="G156" s="7">
        <f>SUMIFS(Лист2!$E:$E,Лист2!$B:$B,Лист1!$B156,Лист2!$A:$A,Лист1!$A156)</f>
        <v>22609</v>
      </c>
      <c r="H156" s="14">
        <f t="shared" si="4"/>
        <v>371264.64</v>
      </c>
      <c r="I156">
        <f t="shared" si="5"/>
        <v>21</v>
      </c>
    </row>
    <row r="157" spans="1:9" ht="14.25" customHeight="1" x14ac:dyDescent="0.3">
      <c r="A157" s="8">
        <v>43979</v>
      </c>
      <c r="B157" s="9" t="s">
        <v>14</v>
      </c>
      <c r="C157" s="9">
        <v>278491.5</v>
      </c>
      <c r="D157" s="9">
        <v>28151004.75</v>
      </c>
      <c r="E157" s="7">
        <f>SUMIFS(Лист2!C:C,Лист2!B:B,Лист1!B157,Лист2!A:A,Лист1!A157)</f>
        <v>129</v>
      </c>
      <c r="F157" s="7">
        <f>SUMIFS(Лист2!$D:$D,Лист2!$B:$B,Лист1!$B157,Лист2!$A:$A,Лист1!$A157)</f>
        <v>16453</v>
      </c>
      <c r="G157" s="7">
        <f>SUMIFS(Лист2!$E:$E,Лист2!$B:$B,Лист1!$B157,Лист2!$A:$A,Лист1!$A157)</f>
        <v>15289</v>
      </c>
      <c r="H157" s="14">
        <f t="shared" si="4"/>
        <v>218224.84302325582</v>
      </c>
      <c r="I157">
        <f t="shared" si="5"/>
        <v>22</v>
      </c>
    </row>
    <row r="158" spans="1:9" ht="14.25" customHeight="1" x14ac:dyDescent="0.3">
      <c r="A158" s="5">
        <v>43976</v>
      </c>
      <c r="B158" s="6" t="s">
        <v>15</v>
      </c>
      <c r="C158" s="6">
        <v>349734</v>
      </c>
      <c r="D158" s="6">
        <v>36883428</v>
      </c>
      <c r="E158" s="7">
        <f>SUMIFS(Лист2!C:C,Лист2!B:B,Лист1!B158,Лист2!A:A,Лист1!A158)</f>
        <v>124</v>
      </c>
      <c r="F158" s="7">
        <f>SUMIFS(Лист2!$D:$D,Лист2!$B:$B,Лист1!$B158,Лист2!$A:$A,Лист1!$A158)</f>
        <v>20358</v>
      </c>
      <c r="G158" s="7">
        <f>SUMIFS(Лист2!$E:$E,Лист2!$B:$B,Лист1!$B158,Лист2!$A:$A,Лист1!$A158)</f>
        <v>18890</v>
      </c>
      <c r="H158" s="14">
        <f t="shared" si="4"/>
        <v>297447</v>
      </c>
      <c r="I158">
        <f t="shared" si="5"/>
        <v>22</v>
      </c>
    </row>
    <row r="159" spans="1:9" ht="14.25" customHeight="1" x14ac:dyDescent="0.3">
      <c r="A159" s="8">
        <v>43951</v>
      </c>
      <c r="B159" s="9" t="s">
        <v>15</v>
      </c>
      <c r="C159" s="9">
        <v>401580</v>
      </c>
      <c r="D159" s="9">
        <v>43028734.5</v>
      </c>
      <c r="E159" s="7">
        <f>SUMIFS(Лист2!C:C,Лист2!B:B,Лист1!B159,Лист2!A:A,Лист1!A159)</f>
        <v>125</v>
      </c>
      <c r="F159" s="7">
        <f>SUMIFS(Лист2!$D:$D,Лист2!$B:$B,Лист1!$B159,Лист2!$A:$A,Лист1!$A159)</f>
        <v>22368</v>
      </c>
      <c r="G159" s="7">
        <f>SUMIFS(Лист2!$E:$E,Лист2!$B:$B,Лист1!$B159,Лист2!$A:$A,Лист1!$A159)</f>
        <v>20625</v>
      </c>
      <c r="H159" s="14">
        <f t="shared" si="4"/>
        <v>344229.87599999999</v>
      </c>
      <c r="I159">
        <f t="shared" si="5"/>
        <v>18</v>
      </c>
    </row>
    <row r="160" spans="1:9" ht="14.25" customHeight="1" x14ac:dyDescent="0.3">
      <c r="A160" s="5">
        <v>43961</v>
      </c>
      <c r="B160" s="6" t="s">
        <v>15</v>
      </c>
      <c r="C160" s="6">
        <v>368649</v>
      </c>
      <c r="D160" s="6">
        <v>39010875</v>
      </c>
      <c r="E160" s="7">
        <f>SUMIFS(Лист2!C:C,Лист2!B:B,Лист1!B160,Лист2!A:A,Лист1!A160)</f>
        <v>125</v>
      </c>
      <c r="F160" s="7">
        <f>SUMIFS(Лист2!$D:$D,Лист2!$B:$B,Лист1!$B160,Лист2!$A:$A,Лист1!$A160)</f>
        <v>20368</v>
      </c>
      <c r="G160" s="7">
        <f>SUMIFS(Лист2!$E:$E,Лист2!$B:$B,Лист1!$B160,Лист2!$A:$A,Лист1!$A160)</f>
        <v>18884</v>
      </c>
      <c r="H160" s="14">
        <f t="shared" si="4"/>
        <v>312087</v>
      </c>
      <c r="I160">
        <f t="shared" si="5"/>
        <v>19</v>
      </c>
    </row>
    <row r="161" spans="1:9" ht="14.25" customHeight="1" x14ac:dyDescent="0.3">
      <c r="A161" s="8">
        <v>43959</v>
      </c>
      <c r="B161" s="9" t="s">
        <v>15</v>
      </c>
      <c r="C161" s="9">
        <v>463530</v>
      </c>
      <c r="D161" s="9">
        <v>49123180.5</v>
      </c>
      <c r="E161" s="7">
        <f>SUMIFS(Лист2!C:C,Лист2!B:B,Лист1!B161,Лист2!A:A,Лист1!A161)</f>
        <v>125</v>
      </c>
      <c r="F161" s="7">
        <f>SUMIFS(Лист2!$D:$D,Лист2!$B:$B,Лист1!$B161,Лист2!$A:$A,Лист1!$A161)</f>
        <v>24620</v>
      </c>
      <c r="G161" s="7">
        <f>SUMIFS(Лист2!$E:$E,Лист2!$B:$B,Лист1!$B161,Лист2!$A:$A,Лист1!$A161)</f>
        <v>22641</v>
      </c>
      <c r="H161" s="14">
        <f t="shared" si="4"/>
        <v>392985.44400000002</v>
      </c>
      <c r="I161">
        <f t="shared" si="5"/>
        <v>19</v>
      </c>
    </row>
    <row r="162" spans="1:9" ht="14.25" customHeight="1" x14ac:dyDescent="0.3">
      <c r="A162" s="5">
        <v>43958</v>
      </c>
      <c r="B162" s="6" t="s">
        <v>15</v>
      </c>
      <c r="C162" s="6">
        <v>319110</v>
      </c>
      <c r="D162" s="6">
        <v>33763989</v>
      </c>
      <c r="E162" s="7">
        <f>SUMIFS(Лист2!C:C,Лист2!B:B,Лист1!B162,Лист2!A:A,Лист1!A162)</f>
        <v>125</v>
      </c>
      <c r="F162" s="7">
        <f>SUMIFS(Лист2!$D:$D,Лист2!$B:$B,Лист1!$B162,Лист2!$A:$A,Лист1!$A162)</f>
        <v>18014</v>
      </c>
      <c r="G162" s="7">
        <f>SUMIFS(Лист2!$E:$E,Лист2!$B:$B,Лист1!$B162,Лист2!$A:$A,Лист1!$A162)</f>
        <v>16675</v>
      </c>
      <c r="H162" s="14">
        <f t="shared" si="4"/>
        <v>270111.91200000001</v>
      </c>
      <c r="I162">
        <f t="shared" si="5"/>
        <v>19</v>
      </c>
    </row>
    <row r="163" spans="1:9" ht="14.25" customHeight="1" x14ac:dyDescent="0.3">
      <c r="A163" s="8">
        <v>43975</v>
      </c>
      <c r="B163" s="9" t="s">
        <v>15</v>
      </c>
      <c r="C163" s="9">
        <v>375744</v>
      </c>
      <c r="D163" s="9">
        <v>38191381.5</v>
      </c>
      <c r="E163" s="7">
        <f>SUMIFS(Лист2!C:C,Лист2!B:B,Лист1!B163,Лист2!A:A,Лист1!A163)</f>
        <v>125</v>
      </c>
      <c r="F163" s="7">
        <f>SUMIFS(Лист2!$D:$D,Лист2!$B:$B,Лист1!$B163,Лист2!$A:$A,Лист1!$A163)</f>
        <v>21004</v>
      </c>
      <c r="G163" s="7">
        <f>SUMIFS(Лист2!$E:$E,Лист2!$B:$B,Лист1!$B163,Лист2!$A:$A,Лист1!$A163)</f>
        <v>19556</v>
      </c>
      <c r="H163" s="14">
        <f t="shared" si="4"/>
        <v>305531.05200000003</v>
      </c>
      <c r="I163">
        <f t="shared" si="5"/>
        <v>21</v>
      </c>
    </row>
    <row r="164" spans="1:9" ht="14.25" customHeight="1" x14ac:dyDescent="0.3">
      <c r="A164" s="5">
        <v>43967</v>
      </c>
      <c r="B164" s="6" t="s">
        <v>16</v>
      </c>
      <c r="C164" s="6">
        <v>81331.5</v>
      </c>
      <c r="D164" s="6">
        <v>6652179</v>
      </c>
      <c r="E164" s="7">
        <f>SUMIFS(Лист2!C:C,Лист2!B:B,Лист1!B164,Лист2!A:A,Лист1!A164)</f>
        <v>36</v>
      </c>
      <c r="F164" s="7">
        <f>SUMIFS(Лист2!$D:$D,Лист2!$B:$B,Лист1!$B164,Лист2!$A:$A,Лист1!$A164)</f>
        <v>5286</v>
      </c>
      <c r="G164" s="7">
        <f>SUMIFS(Лист2!$E:$E,Лист2!$B:$B,Лист1!$B164,Лист2!$A:$A,Лист1!$A164)</f>
        <v>4867</v>
      </c>
      <c r="H164" s="14">
        <f t="shared" si="4"/>
        <v>184782.75</v>
      </c>
      <c r="I164">
        <f t="shared" si="5"/>
        <v>20</v>
      </c>
    </row>
    <row r="165" spans="1:9" ht="14.25" customHeight="1" x14ac:dyDescent="0.3">
      <c r="A165" s="8">
        <v>43970</v>
      </c>
      <c r="B165" s="9" t="s">
        <v>16</v>
      </c>
      <c r="C165" s="9">
        <v>75796.5</v>
      </c>
      <c r="D165" s="9">
        <v>6173463</v>
      </c>
      <c r="E165" s="7">
        <f>SUMIFS(Лист2!C:C,Лист2!B:B,Лист1!B165,Лист2!A:A,Лист1!A165)</f>
        <v>36</v>
      </c>
      <c r="F165" s="7">
        <f>SUMIFS(Лист2!$D:$D,Лист2!$B:$B,Лист1!$B165,Лист2!$A:$A,Лист1!$A165)</f>
        <v>5094</v>
      </c>
      <c r="G165" s="7">
        <f>SUMIFS(Лист2!$E:$E,Лист2!$B:$B,Лист1!$B165,Лист2!$A:$A,Лист1!$A165)</f>
        <v>4716</v>
      </c>
      <c r="H165" s="14">
        <f t="shared" si="4"/>
        <v>171485.08333333334</v>
      </c>
      <c r="I165">
        <f t="shared" si="5"/>
        <v>21</v>
      </c>
    </row>
    <row r="166" spans="1:9" ht="14.25" customHeight="1" x14ac:dyDescent="0.3">
      <c r="A166" s="5">
        <v>43968</v>
      </c>
      <c r="B166" s="6" t="s">
        <v>16</v>
      </c>
      <c r="C166" s="6">
        <v>72861</v>
      </c>
      <c r="D166" s="6">
        <v>5952802.5</v>
      </c>
      <c r="E166" s="7">
        <f>SUMIFS(Лист2!C:C,Лист2!B:B,Лист1!B166,Лист2!A:A,Лист1!A166)</f>
        <v>36</v>
      </c>
      <c r="F166" s="7">
        <f>SUMIFS(Лист2!$D:$D,Лист2!$B:$B,Лист1!$B166,Лист2!$A:$A,Лист1!$A166)</f>
        <v>4918</v>
      </c>
      <c r="G166" s="7">
        <f>SUMIFS(Лист2!$E:$E,Лист2!$B:$B,Лист1!$B166,Лист2!$A:$A,Лист1!$A166)</f>
        <v>4554</v>
      </c>
      <c r="H166" s="14">
        <f t="shared" si="4"/>
        <v>165355.625</v>
      </c>
      <c r="I166">
        <f t="shared" si="5"/>
        <v>20</v>
      </c>
    </row>
    <row r="167" spans="1:9" ht="14.25" customHeight="1" x14ac:dyDescent="0.3">
      <c r="A167" s="8">
        <v>43960</v>
      </c>
      <c r="B167" s="9" t="s">
        <v>16</v>
      </c>
      <c r="C167" s="9">
        <v>83373</v>
      </c>
      <c r="D167" s="9">
        <v>7253427</v>
      </c>
      <c r="E167" s="7">
        <f>SUMIFS(Лист2!C:C,Лист2!B:B,Лист1!B167,Лист2!A:A,Лист1!A167)</f>
        <v>36</v>
      </c>
      <c r="F167" s="7">
        <f>SUMIFS(Лист2!$D:$D,Лист2!$B:$B,Лист1!$B167,Лист2!$A:$A,Лист1!$A167)</f>
        <v>5413</v>
      </c>
      <c r="G167" s="7">
        <f>SUMIFS(Лист2!$E:$E,Лист2!$B:$B,Лист1!$B167,Лист2!$A:$A,Лист1!$A167)</f>
        <v>4959</v>
      </c>
      <c r="H167" s="14">
        <f t="shared" si="4"/>
        <v>201484.08333333334</v>
      </c>
      <c r="I167">
        <f t="shared" si="5"/>
        <v>19</v>
      </c>
    </row>
    <row r="168" spans="1:9" ht="14.25" customHeight="1" x14ac:dyDescent="0.3">
      <c r="A168" s="5">
        <v>43955</v>
      </c>
      <c r="B168" s="6" t="s">
        <v>16</v>
      </c>
      <c r="C168" s="6">
        <v>64108.5</v>
      </c>
      <c r="D168" s="6">
        <v>5561452.5</v>
      </c>
      <c r="E168" s="7">
        <f>SUMIFS(Лист2!C:C,Лист2!B:B,Лист1!B168,Лист2!A:A,Лист1!A168)</f>
        <v>36</v>
      </c>
      <c r="F168" s="7">
        <f>SUMIFS(Лист2!$D:$D,Лист2!$B:$B,Лист1!$B168,Лист2!$A:$A,Лист1!$A168)</f>
        <v>4508</v>
      </c>
      <c r="G168" s="7">
        <f>SUMIFS(Лист2!$E:$E,Лист2!$B:$B,Лист1!$B168,Лист2!$A:$A,Лист1!$A168)</f>
        <v>4149</v>
      </c>
      <c r="H168" s="14">
        <f t="shared" si="4"/>
        <v>154484.79166666666</v>
      </c>
      <c r="I168">
        <f t="shared" si="5"/>
        <v>19</v>
      </c>
    </row>
    <row r="169" spans="1:9" ht="14.25" customHeight="1" x14ac:dyDescent="0.3">
      <c r="A169" s="8">
        <v>43950</v>
      </c>
      <c r="B169" s="9" t="s">
        <v>16</v>
      </c>
      <c r="C169" s="9">
        <v>74707.5</v>
      </c>
      <c r="D169" s="9">
        <v>6454458</v>
      </c>
      <c r="E169" s="7">
        <f>SUMIFS(Лист2!C:C,Лист2!B:B,Лист1!B169,Лист2!A:A,Лист1!A169)</f>
        <v>36</v>
      </c>
      <c r="F169" s="7">
        <f>SUMIFS(Лист2!$D:$D,Лист2!$B:$B,Лист1!$B169,Лист2!$A:$A,Лист1!$A169)</f>
        <v>4937</v>
      </c>
      <c r="G169" s="7">
        <f>SUMIFS(Лист2!$E:$E,Лист2!$B:$B,Лист1!$B169,Лист2!$A:$A,Лист1!$A169)</f>
        <v>4561</v>
      </c>
      <c r="H169" s="14">
        <f t="shared" si="4"/>
        <v>179290.5</v>
      </c>
      <c r="I169">
        <f t="shared" si="5"/>
        <v>18</v>
      </c>
    </row>
    <row r="170" spans="1:9" ht="14.25" customHeight="1" x14ac:dyDescent="0.3">
      <c r="A170" s="5">
        <v>43953</v>
      </c>
      <c r="B170" s="6" t="s">
        <v>16</v>
      </c>
      <c r="C170" s="6">
        <v>46216.5</v>
      </c>
      <c r="D170" s="6">
        <v>4118251.5</v>
      </c>
      <c r="E170" s="7">
        <f>SUMIFS(Лист2!C:C,Лист2!B:B,Лист1!B170,Лист2!A:A,Лист1!A170)</f>
        <v>36</v>
      </c>
      <c r="F170" s="7">
        <f>SUMIFS(Лист2!$D:$D,Лист2!$B:$B,Лист1!$B170,Лист2!$A:$A,Лист1!$A170)</f>
        <v>3442</v>
      </c>
      <c r="G170" s="7">
        <f>SUMIFS(Лист2!$E:$E,Лист2!$B:$B,Лист1!$B170,Лист2!$A:$A,Лист1!$A170)</f>
        <v>3147</v>
      </c>
      <c r="H170" s="14">
        <f t="shared" si="4"/>
        <v>114395.875</v>
      </c>
      <c r="I170">
        <f t="shared" si="5"/>
        <v>18</v>
      </c>
    </row>
    <row r="171" spans="1:9" ht="14.25" customHeight="1" x14ac:dyDescent="0.3">
      <c r="A171" s="8">
        <v>43977</v>
      </c>
      <c r="B171" s="9" t="s">
        <v>16</v>
      </c>
      <c r="C171" s="9">
        <v>67726.5</v>
      </c>
      <c r="D171" s="9">
        <v>5864989.5</v>
      </c>
      <c r="E171" s="7">
        <f>SUMIFS(Лист2!C:C,Лист2!B:B,Лист1!B171,Лист2!A:A,Лист1!A171)</f>
        <v>36</v>
      </c>
      <c r="F171" s="7">
        <f>SUMIFS(Лист2!$D:$D,Лист2!$B:$B,Лист1!$B171,Лист2!$A:$A,Лист1!$A171)</f>
        <v>4770</v>
      </c>
      <c r="G171" s="7">
        <f>SUMIFS(Лист2!$E:$E,Лист2!$B:$B,Лист1!$B171,Лист2!$A:$A,Лист1!$A171)</f>
        <v>4424</v>
      </c>
      <c r="H171" s="14">
        <f t="shared" si="4"/>
        <v>162916.375</v>
      </c>
      <c r="I171">
        <f t="shared" si="5"/>
        <v>22</v>
      </c>
    </row>
    <row r="172" spans="1:9" ht="14.25" customHeight="1" x14ac:dyDescent="0.3">
      <c r="A172" s="5">
        <v>43952</v>
      </c>
      <c r="B172" s="6" t="s">
        <v>16</v>
      </c>
      <c r="C172" s="6">
        <v>82228.5</v>
      </c>
      <c r="D172" s="6">
        <v>7032225</v>
      </c>
      <c r="E172" s="7">
        <f>SUMIFS(Лист2!C:C,Лист2!B:B,Лист1!B172,Лист2!A:A,Лист1!A172)</f>
        <v>36</v>
      </c>
      <c r="F172" s="7">
        <f>SUMIFS(Лист2!$D:$D,Лист2!$B:$B,Лист1!$B172,Лист2!$A:$A,Лист1!$A172)</f>
        <v>5457</v>
      </c>
      <c r="G172" s="7">
        <f>SUMIFS(Лист2!$E:$E,Лист2!$B:$B,Лист1!$B172,Лист2!$A:$A,Лист1!$A172)</f>
        <v>4916</v>
      </c>
      <c r="H172" s="14">
        <f t="shared" si="4"/>
        <v>195339.58333333334</v>
      </c>
      <c r="I172">
        <f t="shared" si="5"/>
        <v>18</v>
      </c>
    </row>
    <row r="173" spans="1:9" ht="14.25" customHeight="1" x14ac:dyDescent="0.3">
      <c r="A173" s="8">
        <v>43963</v>
      </c>
      <c r="B173" s="9" t="s">
        <v>16</v>
      </c>
      <c r="C173" s="9">
        <v>64390.5</v>
      </c>
      <c r="D173" s="9">
        <v>5523145.5</v>
      </c>
      <c r="E173" s="7">
        <f>SUMIFS(Лист2!C:C,Лист2!B:B,Лист1!B173,Лист2!A:A,Лист1!A173)</f>
        <v>36</v>
      </c>
      <c r="F173" s="7">
        <f>SUMIFS(Лист2!$D:$D,Лист2!$B:$B,Лист1!$B173,Лист2!$A:$A,Лист1!$A173)</f>
        <v>4418</v>
      </c>
      <c r="G173" s="7">
        <f>SUMIFS(Лист2!$E:$E,Лист2!$B:$B,Лист1!$B173,Лист2!$A:$A,Лист1!$A173)</f>
        <v>4088</v>
      </c>
      <c r="H173" s="14">
        <f t="shared" si="4"/>
        <v>153420.70833333334</v>
      </c>
      <c r="I173">
        <f t="shared" si="5"/>
        <v>20</v>
      </c>
    </row>
    <row r="174" spans="1:9" ht="14.25" customHeight="1" x14ac:dyDescent="0.3">
      <c r="A174" s="5">
        <v>43972</v>
      </c>
      <c r="B174" s="6" t="s">
        <v>16</v>
      </c>
      <c r="C174" s="6">
        <v>73126.5</v>
      </c>
      <c r="D174" s="6">
        <v>5864085</v>
      </c>
      <c r="E174" s="7">
        <f>SUMIFS(Лист2!C:C,Лист2!B:B,Лист1!B174,Лист2!A:A,Лист1!A174)</f>
        <v>36</v>
      </c>
      <c r="F174" s="7">
        <f>SUMIFS(Лист2!$D:$D,Лист2!$B:$B,Лист1!$B174,Лист2!$A:$A,Лист1!$A174)</f>
        <v>4816</v>
      </c>
      <c r="G174" s="7">
        <f>SUMIFS(Лист2!$E:$E,Лист2!$B:$B,Лист1!$B174,Лист2!$A:$A,Лист1!$A174)</f>
        <v>4452</v>
      </c>
      <c r="H174" s="14">
        <f t="shared" si="4"/>
        <v>162891.25</v>
      </c>
      <c r="I174">
        <f t="shared" si="5"/>
        <v>21</v>
      </c>
    </row>
    <row r="175" spans="1:9" ht="14.25" customHeight="1" x14ac:dyDescent="0.3">
      <c r="A175" s="8">
        <v>43971</v>
      </c>
      <c r="B175" s="9" t="s">
        <v>16</v>
      </c>
      <c r="C175" s="9">
        <v>99631.5</v>
      </c>
      <c r="D175" s="9">
        <v>7121946</v>
      </c>
      <c r="E175" s="7">
        <f>SUMIFS(Лист2!C:C,Лист2!B:B,Лист1!B175,Лист2!A:A,Лист1!A175)</f>
        <v>36</v>
      </c>
      <c r="F175" s="7">
        <f>SUMIFS(Лист2!$D:$D,Лист2!$B:$B,Лист1!$B175,Лист2!$A:$A,Лист1!$A175)</f>
        <v>5914</v>
      </c>
      <c r="G175" s="7">
        <f>SUMIFS(Лист2!$E:$E,Лист2!$B:$B,Лист1!$B175,Лист2!$A:$A,Лист1!$A175)</f>
        <v>5384</v>
      </c>
      <c r="H175" s="14">
        <f t="shared" si="4"/>
        <v>197831.83333333334</v>
      </c>
      <c r="I175">
        <f t="shared" si="5"/>
        <v>21</v>
      </c>
    </row>
    <row r="176" spans="1:9" ht="14.25" customHeight="1" x14ac:dyDescent="0.3">
      <c r="A176" s="5">
        <v>43956</v>
      </c>
      <c r="B176" s="6" t="s">
        <v>16</v>
      </c>
      <c r="C176" s="6">
        <v>66396</v>
      </c>
      <c r="D176" s="6">
        <v>5770539</v>
      </c>
      <c r="E176" s="7">
        <f>SUMIFS(Лист2!C:C,Лист2!B:B,Лист1!B176,Лист2!A:A,Лист1!A176)</f>
        <v>36</v>
      </c>
      <c r="F176" s="7">
        <f>SUMIFS(Лист2!$D:$D,Лист2!$B:$B,Лист1!$B176,Лист2!$A:$A,Лист1!$A176)</f>
        <v>4575</v>
      </c>
      <c r="G176" s="7">
        <f>SUMIFS(Лист2!$E:$E,Лист2!$B:$B,Лист1!$B176,Лист2!$A:$A,Лист1!$A176)</f>
        <v>4206</v>
      </c>
      <c r="H176" s="14">
        <f t="shared" si="4"/>
        <v>160292.75</v>
      </c>
      <c r="I176">
        <f t="shared" si="5"/>
        <v>19</v>
      </c>
    </row>
    <row r="177" spans="1:9" ht="14.25" customHeight="1" x14ac:dyDescent="0.3">
      <c r="A177" s="8">
        <v>43949</v>
      </c>
      <c r="B177" s="9" t="s">
        <v>16</v>
      </c>
      <c r="C177" s="9">
        <v>73147.5</v>
      </c>
      <c r="D177" s="9">
        <v>6288246</v>
      </c>
      <c r="E177" s="7">
        <f>SUMIFS(Лист2!C:C,Лист2!B:B,Лист1!B177,Лист2!A:A,Лист1!A177)</f>
        <v>36</v>
      </c>
      <c r="F177" s="7">
        <f>SUMIFS(Лист2!$D:$D,Лист2!$B:$B,Лист1!$B177,Лист2!$A:$A,Лист1!$A177)</f>
        <v>4923</v>
      </c>
      <c r="G177" s="7">
        <f>SUMIFS(Лист2!$E:$E,Лист2!$B:$B,Лист1!$B177,Лист2!$A:$A,Лист1!$A177)</f>
        <v>4560</v>
      </c>
      <c r="H177" s="14">
        <f t="shared" si="4"/>
        <v>174673.5</v>
      </c>
      <c r="I177">
        <f t="shared" si="5"/>
        <v>18</v>
      </c>
    </row>
    <row r="178" spans="1:9" ht="14.25" customHeight="1" x14ac:dyDescent="0.3">
      <c r="A178" s="5">
        <v>43964</v>
      </c>
      <c r="B178" s="6" t="s">
        <v>16</v>
      </c>
      <c r="C178" s="6">
        <v>73062</v>
      </c>
      <c r="D178" s="6">
        <v>6333828</v>
      </c>
      <c r="E178" s="7">
        <f>SUMIFS(Лист2!C:C,Лист2!B:B,Лист1!B178,Лист2!A:A,Лист1!A178)</f>
        <v>36</v>
      </c>
      <c r="F178" s="7">
        <f>SUMIFS(Лист2!$D:$D,Лист2!$B:$B,Лист1!$B178,Лист2!$A:$A,Лист1!$A178)</f>
        <v>4967</v>
      </c>
      <c r="G178" s="7">
        <f>SUMIFS(Лист2!$E:$E,Лист2!$B:$B,Лист1!$B178,Лист2!$A:$A,Лист1!$A178)</f>
        <v>4583</v>
      </c>
      <c r="H178" s="14">
        <f t="shared" si="4"/>
        <v>175939.66666666666</v>
      </c>
      <c r="I178">
        <f t="shared" si="5"/>
        <v>20</v>
      </c>
    </row>
    <row r="179" spans="1:9" ht="14.25" customHeight="1" x14ac:dyDescent="0.3">
      <c r="A179" s="8">
        <v>43982</v>
      </c>
      <c r="B179" s="9" t="s">
        <v>15</v>
      </c>
      <c r="C179" s="9">
        <v>379663.5</v>
      </c>
      <c r="D179" s="9">
        <v>39380178</v>
      </c>
      <c r="E179" s="7">
        <f>SUMIFS(Лист2!C:C,Лист2!B:B,Лист1!B179,Лист2!A:A,Лист1!A179)</f>
        <v>124</v>
      </c>
      <c r="F179" s="7">
        <f>SUMIFS(Лист2!$D:$D,Лист2!$B:$B,Лист1!$B179,Лист2!$A:$A,Лист1!$A179)</f>
        <v>21392</v>
      </c>
      <c r="G179" s="7">
        <f>SUMIFS(Лист2!$E:$E,Лист2!$B:$B,Лист1!$B179,Лист2!$A:$A,Лист1!$A179)</f>
        <v>19869</v>
      </c>
      <c r="H179" s="14">
        <f t="shared" si="4"/>
        <v>317582.08064516127</v>
      </c>
      <c r="I179">
        <f t="shared" si="5"/>
        <v>22</v>
      </c>
    </row>
    <row r="180" spans="1:9" ht="14.25" customHeight="1" x14ac:dyDescent="0.3">
      <c r="A180" s="5">
        <v>43954</v>
      </c>
      <c r="B180" s="6" t="s">
        <v>16</v>
      </c>
      <c r="C180" s="6">
        <v>70581</v>
      </c>
      <c r="D180" s="6">
        <v>6221320.5</v>
      </c>
      <c r="E180" s="7">
        <f>SUMIFS(Лист2!C:C,Лист2!B:B,Лист1!B180,Лист2!A:A,Лист1!A180)</f>
        <v>36</v>
      </c>
      <c r="F180" s="7">
        <f>SUMIFS(Лист2!$D:$D,Лист2!$B:$B,Лист1!$B180,Лист2!$A:$A,Лист1!$A180)</f>
        <v>4751</v>
      </c>
      <c r="G180" s="7">
        <f>SUMIFS(Лист2!$E:$E,Лист2!$B:$B,Лист1!$B180,Лист2!$A:$A,Лист1!$A180)</f>
        <v>4370</v>
      </c>
      <c r="H180" s="14">
        <f t="shared" si="4"/>
        <v>172814.45833333334</v>
      </c>
      <c r="I180">
        <f t="shared" si="5"/>
        <v>18</v>
      </c>
    </row>
    <row r="181" spans="1:9" ht="14.25" customHeight="1" x14ac:dyDescent="0.3">
      <c r="A181" s="8">
        <v>43981</v>
      </c>
      <c r="B181" s="9" t="s">
        <v>15</v>
      </c>
      <c r="C181" s="9">
        <v>453123</v>
      </c>
      <c r="D181" s="9">
        <v>46370904</v>
      </c>
      <c r="E181" s="7">
        <f>SUMIFS(Лист2!C:C,Лист2!B:B,Лист1!B181,Лист2!A:A,Лист1!A181)</f>
        <v>124</v>
      </c>
      <c r="F181" s="7">
        <f>SUMIFS(Лист2!$D:$D,Лист2!$B:$B,Лист1!$B181,Лист2!$A:$A,Лист1!$A181)</f>
        <v>24325</v>
      </c>
      <c r="G181" s="7">
        <f>SUMIFS(Лист2!$E:$E,Лист2!$B:$B,Лист1!$B181,Лист2!$A:$A,Лист1!$A181)</f>
        <v>22469</v>
      </c>
      <c r="H181" s="14">
        <f t="shared" si="4"/>
        <v>373958.90322580643</v>
      </c>
      <c r="I181">
        <f t="shared" si="5"/>
        <v>22</v>
      </c>
    </row>
    <row r="182" spans="1:9" ht="14.25" customHeight="1" x14ac:dyDescent="0.3">
      <c r="A182" s="5">
        <v>43957</v>
      </c>
      <c r="B182" s="6" t="s">
        <v>16</v>
      </c>
      <c r="C182" s="6">
        <v>63012</v>
      </c>
      <c r="D182" s="6">
        <v>5454121.5</v>
      </c>
      <c r="E182" s="7">
        <f>SUMIFS(Лист2!C:C,Лист2!B:B,Лист1!B182,Лист2!A:A,Лист1!A182)</f>
        <v>36</v>
      </c>
      <c r="F182" s="7">
        <f>SUMIFS(Лист2!$D:$D,Лист2!$B:$B,Лист1!$B182,Лист2!$A:$A,Лист1!$A182)</f>
        <v>4384</v>
      </c>
      <c r="G182" s="7">
        <f>SUMIFS(Лист2!$E:$E,Лист2!$B:$B,Лист1!$B182,Лист2!$A:$A,Лист1!$A182)</f>
        <v>4025</v>
      </c>
      <c r="H182" s="14">
        <f t="shared" si="4"/>
        <v>151503.375</v>
      </c>
      <c r="I182">
        <f t="shared" si="5"/>
        <v>19</v>
      </c>
    </row>
    <row r="183" spans="1:9" ht="14.25" customHeight="1" x14ac:dyDescent="0.3">
      <c r="A183" s="8">
        <v>43974</v>
      </c>
      <c r="B183" s="9" t="s">
        <v>16</v>
      </c>
      <c r="C183" s="9">
        <v>89556</v>
      </c>
      <c r="D183" s="9">
        <v>7173117</v>
      </c>
      <c r="E183" s="7">
        <f>SUMIFS(Лист2!C:C,Лист2!B:B,Лист1!B183,Лист2!A:A,Лист1!A183)</f>
        <v>36</v>
      </c>
      <c r="F183" s="7">
        <f>SUMIFS(Лист2!$D:$D,Лист2!$B:$B,Лист1!$B183,Лист2!$A:$A,Лист1!$A183)</f>
        <v>5651</v>
      </c>
      <c r="G183" s="7">
        <f>SUMIFS(Лист2!$E:$E,Лист2!$B:$B,Лист1!$B183,Лист2!$A:$A,Лист1!$A183)</f>
        <v>5212</v>
      </c>
      <c r="H183" s="14">
        <f t="shared" si="4"/>
        <v>199253.25</v>
      </c>
      <c r="I183">
        <f t="shared" si="5"/>
        <v>21</v>
      </c>
    </row>
    <row r="184" spans="1:9" ht="14.25" customHeight="1" x14ac:dyDescent="0.3">
      <c r="A184" s="5">
        <v>43979</v>
      </c>
      <c r="B184" s="6" t="s">
        <v>15</v>
      </c>
      <c r="C184" s="6">
        <v>364638</v>
      </c>
      <c r="D184" s="6">
        <v>37947688.5</v>
      </c>
      <c r="E184" s="7">
        <f>SUMIFS(Лист2!C:C,Лист2!B:B,Лист1!B184,Лист2!A:A,Лист1!A184)</f>
        <v>124</v>
      </c>
      <c r="F184" s="7">
        <f>SUMIFS(Лист2!$D:$D,Лист2!$B:$B,Лист1!$B184,Лист2!$A:$A,Лист1!$A184)</f>
        <v>20868</v>
      </c>
      <c r="G184" s="7">
        <f>SUMIFS(Лист2!$E:$E,Лист2!$B:$B,Лист1!$B184,Лист2!$A:$A,Лист1!$A184)</f>
        <v>19342</v>
      </c>
      <c r="H184" s="14">
        <f t="shared" si="4"/>
        <v>306029.74596774194</v>
      </c>
      <c r="I184">
        <f t="shared" si="5"/>
        <v>22</v>
      </c>
    </row>
    <row r="185" spans="1:9" ht="14.25" customHeight="1" x14ac:dyDescent="0.3">
      <c r="A185" s="8">
        <v>43976</v>
      </c>
      <c r="B185" s="9" t="s">
        <v>16</v>
      </c>
      <c r="C185" s="9">
        <v>66316.5</v>
      </c>
      <c r="D185" s="9">
        <v>5704650</v>
      </c>
      <c r="E185" s="7">
        <f>SUMIFS(Лист2!C:C,Лист2!B:B,Лист1!B185,Лист2!A:A,Лист1!A185)</f>
        <v>36</v>
      </c>
      <c r="F185" s="7">
        <f>SUMIFS(Лист2!$D:$D,Лист2!$B:$B,Лист1!$B185,Лист2!$A:$A,Лист1!$A185)</f>
        <v>4641</v>
      </c>
      <c r="G185" s="7">
        <f>SUMIFS(Лист2!$E:$E,Лист2!$B:$B,Лист1!$B185,Лист2!$A:$A,Лист1!$A185)</f>
        <v>4274</v>
      </c>
      <c r="H185" s="14">
        <f t="shared" si="4"/>
        <v>158462.5</v>
      </c>
      <c r="I185">
        <f t="shared" si="5"/>
        <v>22</v>
      </c>
    </row>
    <row r="186" spans="1:9" ht="14.25" customHeight="1" x14ac:dyDescent="0.3">
      <c r="A186" s="5">
        <v>43951</v>
      </c>
      <c r="B186" s="6" t="s">
        <v>16</v>
      </c>
      <c r="C186" s="6">
        <v>78235.5</v>
      </c>
      <c r="D186" s="6">
        <v>6819594</v>
      </c>
      <c r="E186" s="7">
        <f>SUMIFS(Лист2!C:C,Лист2!B:B,Лист1!B186,Лист2!A:A,Лист1!A186)</f>
        <v>36</v>
      </c>
      <c r="F186" s="7">
        <f>SUMIFS(Лист2!$D:$D,Лист2!$B:$B,Лист1!$B186,Лист2!$A:$A,Лист1!$A186)</f>
        <v>5143</v>
      </c>
      <c r="G186" s="7">
        <f>SUMIFS(Лист2!$E:$E,Лист2!$B:$B,Лист1!$B186,Лист2!$A:$A,Лист1!$A186)</f>
        <v>4715</v>
      </c>
      <c r="H186" s="14">
        <f t="shared" si="4"/>
        <v>189433.16666666666</v>
      </c>
      <c r="I186">
        <f t="shared" si="5"/>
        <v>18</v>
      </c>
    </row>
    <row r="187" spans="1:9" ht="14.25" customHeight="1" x14ac:dyDescent="0.3">
      <c r="A187" s="8">
        <v>43961</v>
      </c>
      <c r="B187" s="9" t="s">
        <v>16</v>
      </c>
      <c r="C187" s="9">
        <v>88311</v>
      </c>
      <c r="D187" s="9">
        <v>7726069.5</v>
      </c>
      <c r="E187" s="7">
        <f>SUMIFS(Лист2!C:C,Лист2!B:B,Лист1!B187,Лист2!A:A,Лист1!A187)</f>
        <v>36</v>
      </c>
      <c r="F187" s="7">
        <f>SUMIFS(Лист2!$D:$D,Лист2!$B:$B,Лист1!$B187,Лист2!$A:$A,Лист1!$A187)</f>
        <v>5746</v>
      </c>
      <c r="G187" s="7">
        <f>SUMIFS(Лист2!$E:$E,Лист2!$B:$B,Лист1!$B187,Лист2!$A:$A,Лист1!$A187)</f>
        <v>5277</v>
      </c>
      <c r="H187" s="14">
        <f t="shared" si="4"/>
        <v>214613.04166666666</v>
      </c>
      <c r="I187">
        <f t="shared" si="5"/>
        <v>19</v>
      </c>
    </row>
    <row r="188" spans="1:9" ht="14.25" customHeight="1" x14ac:dyDescent="0.3">
      <c r="A188" s="5">
        <v>43959</v>
      </c>
      <c r="B188" s="6" t="s">
        <v>16</v>
      </c>
      <c r="C188" s="6">
        <v>61804.5</v>
      </c>
      <c r="D188" s="6">
        <v>5365708.5</v>
      </c>
      <c r="E188" s="7">
        <f>SUMIFS(Лист2!C:C,Лист2!B:B,Лист1!B188,Лист2!A:A,Лист1!A188)</f>
        <v>36</v>
      </c>
      <c r="F188" s="7">
        <f>SUMIFS(Лист2!$D:$D,Лист2!$B:$B,Лист1!$B188,Лист2!$A:$A,Лист1!$A188)</f>
        <v>4199</v>
      </c>
      <c r="G188" s="7">
        <f>SUMIFS(Лист2!$E:$E,Лист2!$B:$B,Лист1!$B188,Лист2!$A:$A,Лист1!$A188)</f>
        <v>3867</v>
      </c>
      <c r="H188" s="14">
        <f t="shared" si="4"/>
        <v>149047.45833333334</v>
      </c>
      <c r="I188">
        <f t="shared" si="5"/>
        <v>19</v>
      </c>
    </row>
    <row r="189" spans="1:9" ht="14.25" customHeight="1" x14ac:dyDescent="0.3">
      <c r="A189" s="8">
        <v>43958</v>
      </c>
      <c r="B189" s="9" t="s">
        <v>16</v>
      </c>
      <c r="C189" s="9">
        <v>71067</v>
      </c>
      <c r="D189" s="9">
        <v>6175837.5</v>
      </c>
      <c r="E189" s="7">
        <f>SUMIFS(Лист2!C:C,Лист2!B:B,Лист1!B189,Лист2!A:A,Лист1!A189)</f>
        <v>36</v>
      </c>
      <c r="F189" s="7">
        <f>SUMIFS(Лист2!$D:$D,Лист2!$B:$B,Лист1!$B189,Лист2!$A:$A,Лист1!$A189)</f>
        <v>4826</v>
      </c>
      <c r="G189" s="7">
        <f>SUMIFS(Лист2!$E:$E,Лист2!$B:$B,Лист1!$B189,Лист2!$A:$A,Лист1!$A189)</f>
        <v>4426</v>
      </c>
      <c r="H189" s="14">
        <f t="shared" si="4"/>
        <v>171551.04166666666</v>
      </c>
      <c r="I189">
        <f t="shared" si="5"/>
        <v>19</v>
      </c>
    </row>
    <row r="190" spans="1:9" ht="14.25" customHeight="1" x14ac:dyDescent="0.3">
      <c r="A190" s="5">
        <v>43975</v>
      </c>
      <c r="B190" s="6" t="s">
        <v>16</v>
      </c>
      <c r="C190" s="6">
        <v>74649</v>
      </c>
      <c r="D190" s="6">
        <v>6098236.5</v>
      </c>
      <c r="E190" s="7">
        <f>SUMIFS(Лист2!C:C,Лист2!B:B,Лист1!B190,Лист2!A:A,Лист1!A190)</f>
        <v>36</v>
      </c>
      <c r="F190" s="7">
        <f>SUMIFS(Лист2!$D:$D,Лист2!$B:$B,Лист1!$B190,Лист2!$A:$A,Лист1!$A190)</f>
        <v>4915</v>
      </c>
      <c r="G190" s="7">
        <f>SUMIFS(Лист2!$E:$E,Лист2!$B:$B,Лист1!$B190,Лист2!$A:$A,Лист1!$A190)</f>
        <v>4562</v>
      </c>
      <c r="H190" s="14">
        <f t="shared" si="4"/>
        <v>169395.45833333334</v>
      </c>
      <c r="I190">
        <f t="shared" si="5"/>
        <v>21</v>
      </c>
    </row>
    <row r="191" spans="1:9" ht="14.25" customHeight="1" x14ac:dyDescent="0.3">
      <c r="A191" s="8">
        <v>43967</v>
      </c>
      <c r="B191" s="9" t="s">
        <v>17</v>
      </c>
      <c r="C191" s="9">
        <v>44560.5</v>
      </c>
      <c r="D191" s="9">
        <v>4025148</v>
      </c>
      <c r="E191" s="7">
        <f>SUMIFS(Лист2!C:C,Лист2!B:B,Лист1!B191,Лист2!A:A,Лист1!A191)</f>
        <v>21</v>
      </c>
      <c r="F191" s="7">
        <f>SUMIFS(Лист2!$D:$D,Лист2!$B:$B,Лист1!$B191,Лист2!$A:$A,Лист1!$A191)</f>
        <v>2427</v>
      </c>
      <c r="G191" s="7">
        <f>SUMIFS(Лист2!$E:$E,Лист2!$B:$B,Лист1!$B191,Лист2!$A:$A,Лист1!$A191)</f>
        <v>2213</v>
      </c>
      <c r="H191" s="14">
        <f t="shared" si="4"/>
        <v>191673.71428571429</v>
      </c>
      <c r="I191">
        <f t="shared" si="5"/>
        <v>20</v>
      </c>
    </row>
    <row r="192" spans="1:9" ht="14.25" customHeight="1" x14ac:dyDescent="0.3">
      <c r="A192" s="5">
        <v>43970</v>
      </c>
      <c r="B192" s="6" t="s">
        <v>17</v>
      </c>
      <c r="C192" s="6">
        <v>38250</v>
      </c>
      <c r="D192" s="6">
        <v>3552937.5</v>
      </c>
      <c r="E192" s="7">
        <f>SUMIFS(Лист2!C:C,Лист2!B:B,Лист1!B192,Лист2!A:A,Лист1!A192)</f>
        <v>21</v>
      </c>
      <c r="F192" s="7">
        <f>SUMIFS(Лист2!$D:$D,Лист2!$B:$B,Лист1!$B192,Лист2!$A:$A,Лист1!$A192)</f>
        <v>2245</v>
      </c>
      <c r="G192" s="7">
        <f>SUMIFS(Лист2!$E:$E,Лист2!$B:$B,Лист1!$B192,Лист2!$A:$A,Лист1!$A192)</f>
        <v>2053</v>
      </c>
      <c r="H192" s="14">
        <f t="shared" si="4"/>
        <v>169187.5</v>
      </c>
      <c r="I192">
        <f t="shared" si="5"/>
        <v>21</v>
      </c>
    </row>
    <row r="193" spans="1:9" ht="14.25" customHeight="1" x14ac:dyDescent="0.3">
      <c r="A193" s="8">
        <v>43968</v>
      </c>
      <c r="B193" s="9" t="s">
        <v>17</v>
      </c>
      <c r="C193" s="9">
        <v>34830</v>
      </c>
      <c r="D193" s="9">
        <v>3191155.5</v>
      </c>
      <c r="E193" s="7">
        <f>SUMIFS(Лист2!C:C,Лист2!B:B,Лист1!B193,Лист2!A:A,Лист1!A193)</f>
        <v>21</v>
      </c>
      <c r="F193" s="7">
        <f>SUMIFS(Лист2!$D:$D,Лист2!$B:$B,Лист1!$B193,Лист2!$A:$A,Лист1!$A193)</f>
        <v>2054</v>
      </c>
      <c r="G193" s="7">
        <f>SUMIFS(Лист2!$E:$E,Лист2!$B:$B,Лист1!$B193,Лист2!$A:$A,Лист1!$A193)</f>
        <v>1883</v>
      </c>
      <c r="H193" s="14">
        <f t="shared" si="4"/>
        <v>151959.78571428571</v>
      </c>
      <c r="I193">
        <f t="shared" si="5"/>
        <v>20</v>
      </c>
    </row>
    <row r="194" spans="1:9" ht="14.25" customHeight="1" x14ac:dyDescent="0.3">
      <c r="A194" s="5">
        <v>43960</v>
      </c>
      <c r="B194" s="6" t="s">
        <v>17</v>
      </c>
      <c r="C194" s="6">
        <v>32239.5</v>
      </c>
      <c r="D194" s="6">
        <v>3084892.5</v>
      </c>
      <c r="E194" s="7">
        <f>SUMIFS(Лист2!C:C,Лист2!B:B,Лист1!B194,Лист2!A:A,Лист1!A194)</f>
        <v>21</v>
      </c>
      <c r="F194" s="7">
        <f>SUMIFS(Лист2!$D:$D,Лист2!$B:$B,Лист1!$B194,Лист2!$A:$A,Лист1!$A194)</f>
        <v>1891</v>
      </c>
      <c r="G194" s="7">
        <f>SUMIFS(Лист2!$E:$E,Лист2!$B:$B,Лист1!$B194,Лист2!$A:$A,Лист1!$A194)</f>
        <v>1709</v>
      </c>
      <c r="H194" s="14">
        <f t="shared" si="4"/>
        <v>146899.64285714287</v>
      </c>
      <c r="I194">
        <f t="shared" si="5"/>
        <v>19</v>
      </c>
    </row>
    <row r="195" spans="1:9" ht="14.25" customHeight="1" x14ac:dyDescent="0.3">
      <c r="A195" s="8">
        <v>43955</v>
      </c>
      <c r="B195" s="9" t="s">
        <v>17</v>
      </c>
      <c r="C195" s="9">
        <v>30780</v>
      </c>
      <c r="D195" s="9">
        <v>2817853.5</v>
      </c>
      <c r="E195" s="7">
        <f>SUMIFS(Лист2!C:C,Лист2!B:B,Лист1!B195,Лист2!A:A,Лист1!A195)</f>
        <v>20</v>
      </c>
      <c r="F195" s="7">
        <f>SUMIFS(Лист2!$D:$D,Лист2!$B:$B,Лист1!$B195,Лист2!$A:$A,Лист1!$A195)</f>
        <v>1804</v>
      </c>
      <c r="G195" s="7">
        <f>SUMIFS(Лист2!$E:$E,Лист2!$B:$B,Лист1!$B195,Лист2!$A:$A,Лист1!$A195)</f>
        <v>1638</v>
      </c>
      <c r="H195" s="14">
        <f t="shared" ref="H195:H258" si="6">D195/E195</f>
        <v>140892.67499999999</v>
      </c>
      <c r="I195">
        <f t="shared" ref="I195:I258" si="7">WEEKNUM(A195,2)</f>
        <v>19</v>
      </c>
    </row>
    <row r="196" spans="1:9" ht="14.25" customHeight="1" x14ac:dyDescent="0.3">
      <c r="A196" s="5">
        <v>43950</v>
      </c>
      <c r="B196" s="6" t="s">
        <v>17</v>
      </c>
      <c r="C196" s="6">
        <v>29142</v>
      </c>
      <c r="D196" s="6">
        <v>2627595</v>
      </c>
      <c r="E196" s="7">
        <f>SUMIFS(Лист2!C:C,Лист2!B:B,Лист1!B196,Лист2!A:A,Лист1!A196)</f>
        <v>19</v>
      </c>
      <c r="F196" s="7">
        <f>SUMIFS(Лист2!$D:$D,Лист2!$B:$B,Лист1!$B196,Лист2!$A:$A,Лист1!$A196)</f>
        <v>1676</v>
      </c>
      <c r="G196" s="7">
        <f>SUMIFS(Лист2!$E:$E,Лист2!$B:$B,Лист1!$B196,Лист2!$A:$A,Лист1!$A196)</f>
        <v>1516</v>
      </c>
      <c r="H196" s="14">
        <f t="shared" si="6"/>
        <v>138294.47368421053</v>
      </c>
      <c r="I196">
        <f t="shared" si="7"/>
        <v>18</v>
      </c>
    </row>
    <row r="197" spans="1:9" ht="14.25" customHeight="1" x14ac:dyDescent="0.3">
      <c r="A197" s="8">
        <v>43953</v>
      </c>
      <c r="B197" s="9" t="s">
        <v>17</v>
      </c>
      <c r="C197" s="9">
        <v>26428.5</v>
      </c>
      <c r="D197" s="9">
        <v>2470465.5</v>
      </c>
      <c r="E197" s="7">
        <f>SUMIFS(Лист2!C:C,Лист2!B:B,Лист1!B197,Лист2!A:A,Лист1!A197)</f>
        <v>20</v>
      </c>
      <c r="F197" s="7">
        <f>SUMIFS(Лист2!$D:$D,Лист2!$B:$B,Лист1!$B197,Лист2!$A:$A,Лист1!$A197)</f>
        <v>1613</v>
      </c>
      <c r="G197" s="7">
        <f>SUMIFS(Лист2!$E:$E,Лист2!$B:$B,Лист1!$B197,Лист2!$A:$A,Лист1!$A197)</f>
        <v>1457</v>
      </c>
      <c r="H197" s="14">
        <f t="shared" si="6"/>
        <v>123523.27499999999</v>
      </c>
      <c r="I197">
        <f t="shared" si="7"/>
        <v>18</v>
      </c>
    </row>
    <row r="198" spans="1:9" ht="14.25" customHeight="1" x14ac:dyDescent="0.3">
      <c r="A198" s="5">
        <v>43977</v>
      </c>
      <c r="B198" s="6" t="s">
        <v>17</v>
      </c>
      <c r="C198" s="6">
        <v>40744.5</v>
      </c>
      <c r="D198" s="6">
        <v>3700311</v>
      </c>
      <c r="E198" s="7">
        <f>SUMIFS(Лист2!C:C,Лист2!B:B,Лист1!B198,Лист2!A:A,Лист1!A198)</f>
        <v>21</v>
      </c>
      <c r="F198" s="7">
        <f>SUMIFS(Лист2!$D:$D,Лист2!$B:$B,Лист1!$B198,Лист2!$A:$A,Лист1!$A198)</f>
        <v>2418</v>
      </c>
      <c r="G198" s="7">
        <f>SUMIFS(Лист2!$E:$E,Лист2!$B:$B,Лист1!$B198,Лист2!$A:$A,Лист1!$A198)</f>
        <v>2215</v>
      </c>
      <c r="H198" s="14">
        <f t="shared" si="6"/>
        <v>176205.28571428571</v>
      </c>
      <c r="I198">
        <f t="shared" si="7"/>
        <v>22</v>
      </c>
    </row>
    <row r="199" spans="1:9" ht="14.25" customHeight="1" x14ac:dyDescent="0.3">
      <c r="A199" s="8">
        <v>43952</v>
      </c>
      <c r="B199" s="9" t="s">
        <v>17</v>
      </c>
      <c r="C199" s="9">
        <v>46620</v>
      </c>
      <c r="D199" s="9">
        <v>4293241.5</v>
      </c>
      <c r="E199" s="7">
        <f>SUMIFS(Лист2!C:C,Лист2!B:B,Лист1!B199,Лист2!A:A,Лист1!A199)</f>
        <v>20</v>
      </c>
      <c r="F199" s="7">
        <f>SUMIFS(Лист2!$D:$D,Лист2!$B:$B,Лист1!$B199,Лист2!$A:$A,Лист1!$A199)</f>
        <v>2468</v>
      </c>
      <c r="G199" s="7">
        <f>SUMIFS(Лист2!$E:$E,Лист2!$B:$B,Лист1!$B199,Лист2!$A:$A,Лист1!$A199)</f>
        <v>2221</v>
      </c>
      <c r="H199" s="14">
        <f t="shared" si="6"/>
        <v>214662.07500000001</v>
      </c>
      <c r="I199">
        <f t="shared" si="7"/>
        <v>18</v>
      </c>
    </row>
    <row r="200" spans="1:9" ht="14.25" customHeight="1" x14ac:dyDescent="0.3">
      <c r="A200" s="5">
        <v>43963</v>
      </c>
      <c r="B200" s="6" t="s">
        <v>17</v>
      </c>
      <c r="C200" s="6">
        <v>32419.5</v>
      </c>
      <c r="D200" s="6">
        <v>3080614.5</v>
      </c>
      <c r="E200" s="7">
        <f>SUMIFS(Лист2!C:C,Лист2!B:B,Лист1!B200,Лист2!A:A,Лист1!A200)</f>
        <v>21</v>
      </c>
      <c r="F200" s="7">
        <f>SUMIFS(Лист2!$D:$D,Лист2!$B:$B,Лист1!$B200,Лист2!$A:$A,Лист1!$A200)</f>
        <v>1926</v>
      </c>
      <c r="G200" s="7">
        <f>SUMIFS(Лист2!$E:$E,Лист2!$B:$B,Лист1!$B200,Лист2!$A:$A,Лист1!$A200)</f>
        <v>1745</v>
      </c>
      <c r="H200" s="14">
        <f t="shared" si="6"/>
        <v>146695.92857142858</v>
      </c>
      <c r="I200">
        <f t="shared" si="7"/>
        <v>20</v>
      </c>
    </row>
    <row r="201" spans="1:9" ht="14.25" customHeight="1" x14ac:dyDescent="0.3">
      <c r="A201" s="8">
        <v>43972</v>
      </c>
      <c r="B201" s="9" t="s">
        <v>17</v>
      </c>
      <c r="C201" s="9">
        <v>40819.5</v>
      </c>
      <c r="D201" s="9">
        <v>3810394.5</v>
      </c>
      <c r="E201" s="7">
        <f>SUMIFS(Лист2!C:C,Лист2!B:B,Лист1!B201,Лист2!A:A,Лист1!A201)</f>
        <v>21</v>
      </c>
      <c r="F201" s="7">
        <f>SUMIFS(Лист2!$D:$D,Лист2!$B:$B,Лист1!$B201,Лист2!$A:$A,Лист1!$A201)</f>
        <v>2335</v>
      </c>
      <c r="G201" s="7">
        <f>SUMIFS(Лист2!$E:$E,Лист2!$B:$B,Лист1!$B201,Лист2!$A:$A,Лист1!$A201)</f>
        <v>2126</v>
      </c>
      <c r="H201" s="14">
        <f t="shared" si="6"/>
        <v>181447.35714285713</v>
      </c>
      <c r="I201">
        <f t="shared" si="7"/>
        <v>21</v>
      </c>
    </row>
    <row r="202" spans="1:9" ht="14.25" customHeight="1" x14ac:dyDescent="0.3">
      <c r="A202" s="5">
        <v>43971</v>
      </c>
      <c r="B202" s="6" t="s">
        <v>17</v>
      </c>
      <c r="C202" s="6">
        <v>41391</v>
      </c>
      <c r="D202" s="6">
        <v>3918987</v>
      </c>
      <c r="E202" s="7">
        <f>SUMIFS(Лист2!C:C,Лист2!B:B,Лист1!B202,Лист2!A:A,Лист1!A202)</f>
        <v>21</v>
      </c>
      <c r="F202" s="7">
        <f>SUMIFS(Лист2!$D:$D,Лист2!$B:$B,Лист1!$B202,Лист2!$A:$A,Лист1!$A202)</f>
        <v>2410</v>
      </c>
      <c r="G202" s="7">
        <f>SUMIFS(Лист2!$E:$E,Лист2!$B:$B,Лист1!$B202,Лист2!$A:$A,Лист1!$A202)</f>
        <v>2202</v>
      </c>
      <c r="H202" s="14">
        <f t="shared" si="6"/>
        <v>186618.42857142858</v>
      </c>
      <c r="I202">
        <f t="shared" si="7"/>
        <v>21</v>
      </c>
    </row>
    <row r="203" spans="1:9" ht="14.25" customHeight="1" x14ac:dyDescent="0.3">
      <c r="A203" s="8">
        <v>43956</v>
      </c>
      <c r="B203" s="9" t="s">
        <v>17</v>
      </c>
      <c r="C203" s="9">
        <v>29482.5</v>
      </c>
      <c r="D203" s="9">
        <v>2648688</v>
      </c>
      <c r="E203" s="7">
        <f>SUMIFS(Лист2!C:C,Лист2!B:B,Лист1!B203,Лист2!A:A,Лист1!A203)</f>
        <v>20</v>
      </c>
      <c r="F203" s="7">
        <f>SUMIFS(Лист2!$D:$D,Лист2!$B:$B,Лист1!$B203,Лист2!$A:$A,Лист1!$A203)</f>
        <v>1757</v>
      </c>
      <c r="G203" s="7">
        <f>SUMIFS(Лист2!$E:$E,Лист2!$B:$B,Лист1!$B203,Лист2!$A:$A,Лист1!$A203)</f>
        <v>1596</v>
      </c>
      <c r="H203" s="14">
        <f t="shared" si="6"/>
        <v>132434.4</v>
      </c>
      <c r="I203">
        <f t="shared" si="7"/>
        <v>19</v>
      </c>
    </row>
    <row r="204" spans="1:9" ht="14.25" customHeight="1" x14ac:dyDescent="0.3">
      <c r="A204" s="5">
        <v>43949</v>
      </c>
      <c r="B204" s="6" t="s">
        <v>17</v>
      </c>
      <c r="C204" s="6">
        <v>32181</v>
      </c>
      <c r="D204" s="6">
        <v>2863600.5</v>
      </c>
      <c r="E204" s="7">
        <f>SUMIFS(Лист2!C:C,Лист2!B:B,Лист1!B204,Лист2!A:A,Лист1!A204)</f>
        <v>19</v>
      </c>
      <c r="F204" s="7">
        <f>SUMIFS(Лист2!$D:$D,Лист2!$B:$B,Лист1!$B204,Лист2!$A:$A,Лист1!$A204)</f>
        <v>1846</v>
      </c>
      <c r="G204" s="7">
        <f>SUMIFS(Лист2!$E:$E,Лист2!$B:$B,Лист1!$B204,Лист2!$A:$A,Лист1!$A204)</f>
        <v>1681</v>
      </c>
      <c r="H204" s="14">
        <f t="shared" si="6"/>
        <v>150715.81578947368</v>
      </c>
      <c r="I204">
        <f t="shared" si="7"/>
        <v>18</v>
      </c>
    </row>
    <row r="205" spans="1:9" ht="14.25" customHeight="1" x14ac:dyDescent="0.3">
      <c r="A205" s="8">
        <v>43964</v>
      </c>
      <c r="B205" s="9" t="s">
        <v>17</v>
      </c>
      <c r="C205" s="9">
        <v>35535</v>
      </c>
      <c r="D205" s="9">
        <v>3288069</v>
      </c>
      <c r="E205" s="7">
        <f>SUMIFS(Лист2!C:C,Лист2!B:B,Лист1!B205,Лист2!A:A,Лист1!A205)</f>
        <v>21</v>
      </c>
      <c r="F205" s="7">
        <f>SUMIFS(Лист2!$D:$D,Лист2!$B:$B,Лист1!$B205,Лист2!$A:$A,Лист1!$A205)</f>
        <v>2061</v>
      </c>
      <c r="G205" s="7">
        <f>SUMIFS(Лист2!$E:$E,Лист2!$B:$B,Лист1!$B205,Лист2!$A:$A,Лист1!$A205)</f>
        <v>1876</v>
      </c>
      <c r="H205" s="14">
        <f t="shared" si="6"/>
        <v>156574.71428571429</v>
      </c>
      <c r="I205">
        <f t="shared" si="7"/>
        <v>20</v>
      </c>
    </row>
    <row r="206" spans="1:9" ht="14.25" customHeight="1" x14ac:dyDescent="0.3">
      <c r="A206" s="5">
        <v>43982</v>
      </c>
      <c r="B206" s="6" t="s">
        <v>16</v>
      </c>
      <c r="C206" s="6">
        <v>76234.5</v>
      </c>
      <c r="D206" s="6">
        <v>6500848.5</v>
      </c>
      <c r="E206" s="7">
        <f>SUMIFS(Лист2!C:C,Лист2!B:B,Лист1!B206,Лист2!A:A,Лист1!A206)</f>
        <v>37</v>
      </c>
      <c r="F206" s="7">
        <f>SUMIFS(Лист2!$D:$D,Лист2!$B:$B,Лист1!$B206,Лист2!$A:$A,Лист1!$A206)</f>
        <v>5215</v>
      </c>
      <c r="G206" s="7">
        <f>SUMIFS(Лист2!$E:$E,Лист2!$B:$B,Лист1!$B206,Лист2!$A:$A,Лист1!$A206)</f>
        <v>4848</v>
      </c>
      <c r="H206" s="14">
        <f t="shared" si="6"/>
        <v>175698.60810810811</v>
      </c>
      <c r="I206">
        <f t="shared" si="7"/>
        <v>22</v>
      </c>
    </row>
    <row r="207" spans="1:9" ht="14.25" customHeight="1" x14ac:dyDescent="0.3">
      <c r="A207" s="8">
        <v>43954</v>
      </c>
      <c r="B207" s="9" t="s">
        <v>17</v>
      </c>
      <c r="C207" s="9">
        <v>29935.5</v>
      </c>
      <c r="D207" s="9">
        <v>2720002.5</v>
      </c>
      <c r="E207" s="7">
        <f>SUMIFS(Лист2!C:C,Лист2!B:B,Лист1!B207,Лист2!A:A,Лист1!A207)</f>
        <v>20</v>
      </c>
      <c r="F207" s="7">
        <f>SUMIFS(Лист2!$D:$D,Лист2!$B:$B,Лист1!$B207,Лист2!$A:$A,Лист1!$A207)</f>
        <v>1716</v>
      </c>
      <c r="G207" s="7">
        <f>SUMIFS(Лист2!$E:$E,Лист2!$B:$B,Лист1!$B207,Лист2!$A:$A,Лист1!$A207)</f>
        <v>1561</v>
      </c>
      <c r="H207" s="14">
        <f t="shared" si="6"/>
        <v>136000.125</v>
      </c>
      <c r="I207">
        <f t="shared" si="7"/>
        <v>18</v>
      </c>
    </row>
    <row r="208" spans="1:9" ht="14.25" customHeight="1" x14ac:dyDescent="0.3">
      <c r="A208" s="5">
        <v>43981</v>
      </c>
      <c r="B208" s="6" t="s">
        <v>16</v>
      </c>
      <c r="C208" s="6">
        <v>106926</v>
      </c>
      <c r="D208" s="6">
        <v>9098386.5</v>
      </c>
      <c r="E208" s="7">
        <f>SUMIFS(Лист2!C:C,Лист2!B:B,Лист1!B208,Лист2!A:A,Лист1!A208)</f>
        <v>37</v>
      </c>
      <c r="F208" s="7">
        <f>SUMIFS(Лист2!$D:$D,Лист2!$B:$B,Лист1!$B208,Лист2!$A:$A,Лист1!$A208)</f>
        <v>6645</v>
      </c>
      <c r="G208" s="7">
        <f>SUMIFS(Лист2!$E:$E,Лист2!$B:$B,Лист1!$B208,Лист2!$A:$A,Лист1!$A208)</f>
        <v>6122</v>
      </c>
      <c r="H208" s="14">
        <f t="shared" si="6"/>
        <v>245902.33783783784</v>
      </c>
      <c r="I208">
        <f t="shared" si="7"/>
        <v>22</v>
      </c>
    </row>
    <row r="209" spans="1:9" ht="14.25" customHeight="1" x14ac:dyDescent="0.3">
      <c r="A209" s="8">
        <v>43957</v>
      </c>
      <c r="B209" s="9" t="s">
        <v>17</v>
      </c>
      <c r="C209" s="9">
        <v>30342</v>
      </c>
      <c r="D209" s="9">
        <v>2738127</v>
      </c>
      <c r="E209" s="7">
        <f>SUMIFS(Лист2!C:C,Лист2!B:B,Лист1!B209,Лист2!A:A,Лист1!A209)</f>
        <v>20</v>
      </c>
      <c r="F209" s="7">
        <f>SUMIFS(Лист2!$D:$D,Лист2!$B:$B,Лист1!$B209,Лист2!$A:$A,Лист1!$A209)</f>
        <v>1747</v>
      </c>
      <c r="G209" s="7">
        <f>SUMIFS(Лист2!$E:$E,Лист2!$B:$B,Лист1!$B209,Лист2!$A:$A,Лист1!$A209)</f>
        <v>1570</v>
      </c>
      <c r="H209" s="14">
        <f t="shared" si="6"/>
        <v>136906.35</v>
      </c>
      <c r="I209">
        <f t="shared" si="7"/>
        <v>19</v>
      </c>
    </row>
    <row r="210" spans="1:9" ht="14.25" customHeight="1" x14ac:dyDescent="0.3">
      <c r="A210" s="5">
        <v>43974</v>
      </c>
      <c r="B210" s="6" t="s">
        <v>17</v>
      </c>
      <c r="C210" s="6">
        <v>42999</v>
      </c>
      <c r="D210" s="6">
        <v>3883215</v>
      </c>
      <c r="E210" s="7">
        <f>SUMIFS(Лист2!C:C,Лист2!B:B,Лист1!B210,Лист2!A:A,Лист1!A210)</f>
        <v>21</v>
      </c>
      <c r="F210" s="7">
        <f>SUMIFS(Лист2!$D:$D,Лист2!$B:$B,Лист1!$B210,Лист2!$A:$A,Лист1!$A210)</f>
        <v>2460</v>
      </c>
      <c r="G210" s="7">
        <f>SUMIFS(Лист2!$E:$E,Лист2!$B:$B,Лист1!$B210,Лист2!$A:$A,Лист1!$A210)</f>
        <v>2226</v>
      </c>
      <c r="H210" s="14">
        <f t="shared" si="6"/>
        <v>184915</v>
      </c>
      <c r="I210">
        <f t="shared" si="7"/>
        <v>21</v>
      </c>
    </row>
    <row r="211" spans="1:9" ht="14.25" customHeight="1" x14ac:dyDescent="0.3">
      <c r="A211" s="8">
        <v>43979</v>
      </c>
      <c r="B211" s="9" t="s">
        <v>16</v>
      </c>
      <c r="C211" s="9">
        <v>69945</v>
      </c>
      <c r="D211" s="9">
        <v>6101931</v>
      </c>
      <c r="E211" s="7">
        <f>SUMIFS(Лист2!C:C,Лист2!B:B,Лист1!B211,Лист2!A:A,Лист1!A211)</f>
        <v>37</v>
      </c>
      <c r="F211" s="7">
        <f>SUMIFS(Лист2!$D:$D,Лист2!$B:$B,Лист1!$B211,Лист2!$A:$A,Лист1!$A211)</f>
        <v>4840</v>
      </c>
      <c r="G211" s="7">
        <f>SUMIFS(Лист2!$E:$E,Лист2!$B:$B,Лист1!$B211,Лист2!$A:$A,Лист1!$A211)</f>
        <v>4475</v>
      </c>
      <c r="H211" s="14">
        <f t="shared" si="6"/>
        <v>164917.05405405405</v>
      </c>
      <c r="I211">
        <f t="shared" si="7"/>
        <v>22</v>
      </c>
    </row>
    <row r="212" spans="1:9" ht="14.25" customHeight="1" x14ac:dyDescent="0.3">
      <c r="A212" s="5">
        <v>43976</v>
      </c>
      <c r="B212" s="6" t="s">
        <v>17</v>
      </c>
      <c r="C212" s="6">
        <v>38740.5</v>
      </c>
      <c r="D212" s="6">
        <v>3561655.5</v>
      </c>
      <c r="E212" s="7">
        <f>SUMIFS(Лист2!C:C,Лист2!B:B,Лист1!B212,Лист2!A:A,Лист1!A212)</f>
        <v>21</v>
      </c>
      <c r="F212" s="7">
        <f>SUMIFS(Лист2!$D:$D,Лист2!$B:$B,Лист1!$B212,Лист2!$A:$A,Лист1!$A212)</f>
        <v>2330</v>
      </c>
      <c r="G212" s="7">
        <f>SUMIFS(Лист2!$E:$E,Лист2!$B:$B,Лист1!$B212,Лист2!$A:$A,Лист1!$A212)</f>
        <v>2142</v>
      </c>
      <c r="H212" s="14">
        <f t="shared" si="6"/>
        <v>169602.64285714287</v>
      </c>
      <c r="I212">
        <f t="shared" si="7"/>
        <v>22</v>
      </c>
    </row>
    <row r="213" spans="1:9" ht="14.25" customHeight="1" x14ac:dyDescent="0.3">
      <c r="A213" s="8">
        <v>43951</v>
      </c>
      <c r="B213" s="9" t="s">
        <v>17</v>
      </c>
      <c r="C213" s="9">
        <v>31231.5</v>
      </c>
      <c r="D213" s="9">
        <v>2853310.5</v>
      </c>
      <c r="E213" s="7">
        <f>SUMIFS(Лист2!C:C,Лист2!B:B,Лист1!B213,Лист2!A:A,Лист1!A213)</f>
        <v>20</v>
      </c>
      <c r="F213" s="7">
        <f>SUMIFS(Лист2!$D:$D,Лист2!$B:$B,Лист1!$B213,Лист2!$A:$A,Лист1!$A213)</f>
        <v>1756</v>
      </c>
      <c r="G213" s="7">
        <f>SUMIFS(Лист2!$E:$E,Лист2!$B:$B,Лист1!$B213,Лист2!$A:$A,Лист1!$A213)</f>
        <v>1586</v>
      </c>
      <c r="H213" s="14">
        <f t="shared" si="6"/>
        <v>142665.52499999999</v>
      </c>
      <c r="I213">
        <f t="shared" si="7"/>
        <v>18</v>
      </c>
    </row>
    <row r="214" spans="1:9" ht="14.25" customHeight="1" x14ac:dyDescent="0.3">
      <c r="A214" s="5">
        <v>43961</v>
      </c>
      <c r="B214" s="6" t="s">
        <v>17</v>
      </c>
      <c r="C214" s="6">
        <v>37489.5</v>
      </c>
      <c r="D214" s="6">
        <v>3549097.5</v>
      </c>
      <c r="E214" s="7">
        <f>SUMIFS(Лист2!C:C,Лист2!B:B,Лист1!B214,Лист2!A:A,Лист1!A214)</f>
        <v>21</v>
      </c>
      <c r="F214" s="7">
        <f>SUMIFS(Лист2!$D:$D,Лист2!$B:$B,Лист1!$B214,Лист2!$A:$A,Лист1!$A214)</f>
        <v>2120</v>
      </c>
      <c r="G214" s="7">
        <f>SUMIFS(Лист2!$E:$E,Лист2!$B:$B,Лист1!$B214,Лист2!$A:$A,Лист1!$A214)</f>
        <v>1921</v>
      </c>
      <c r="H214" s="14">
        <f t="shared" si="6"/>
        <v>169004.64285714287</v>
      </c>
      <c r="I214">
        <f t="shared" si="7"/>
        <v>19</v>
      </c>
    </row>
    <row r="215" spans="1:9" ht="14.25" customHeight="1" x14ac:dyDescent="0.3">
      <c r="A215" s="8">
        <v>43959</v>
      </c>
      <c r="B215" s="9" t="s">
        <v>17</v>
      </c>
      <c r="C215" s="9">
        <v>34399.5</v>
      </c>
      <c r="D215" s="9">
        <v>3201358.5</v>
      </c>
      <c r="E215" s="7">
        <f>SUMIFS(Лист2!C:C,Лист2!B:B,Лист1!B215,Лист2!A:A,Лист1!A215)</f>
        <v>21</v>
      </c>
      <c r="F215" s="7">
        <f>SUMIFS(Лист2!$D:$D,Лист2!$B:$B,Лист1!$B215,Лист2!$A:$A,Лист1!$A215)</f>
        <v>1957</v>
      </c>
      <c r="G215" s="7">
        <f>SUMIFS(Лист2!$E:$E,Лист2!$B:$B,Лист1!$B215,Лист2!$A:$A,Лист1!$A215)</f>
        <v>1755</v>
      </c>
      <c r="H215" s="14">
        <f t="shared" si="6"/>
        <v>152445.64285714287</v>
      </c>
      <c r="I215">
        <f t="shared" si="7"/>
        <v>19</v>
      </c>
    </row>
    <row r="216" spans="1:9" ht="14.25" customHeight="1" x14ac:dyDescent="0.3">
      <c r="A216" s="5">
        <v>43958</v>
      </c>
      <c r="B216" s="6" t="s">
        <v>17</v>
      </c>
      <c r="C216" s="6">
        <v>32851.5</v>
      </c>
      <c r="D216" s="6">
        <v>2934504</v>
      </c>
      <c r="E216" s="7">
        <f>SUMIFS(Лист2!C:C,Лист2!B:B,Лист1!B216,Лист2!A:A,Лист1!A216)</f>
        <v>21</v>
      </c>
      <c r="F216" s="7">
        <f>SUMIFS(Лист2!$D:$D,Лист2!$B:$B,Лист1!$B216,Лист2!$A:$A,Лист1!$A216)</f>
        <v>1879</v>
      </c>
      <c r="G216" s="7">
        <f>SUMIFS(Лист2!$E:$E,Лист2!$B:$B,Лист1!$B216,Лист2!$A:$A,Лист1!$A216)</f>
        <v>1695</v>
      </c>
      <c r="H216" s="14">
        <f t="shared" si="6"/>
        <v>139738.28571428571</v>
      </c>
      <c r="I216">
        <f t="shared" si="7"/>
        <v>19</v>
      </c>
    </row>
    <row r="217" spans="1:9" ht="14.25" customHeight="1" x14ac:dyDescent="0.3">
      <c r="A217" s="8">
        <v>43975</v>
      </c>
      <c r="B217" s="9" t="s">
        <v>17</v>
      </c>
      <c r="C217" s="9">
        <v>38194.5</v>
      </c>
      <c r="D217" s="9">
        <v>3449302.5</v>
      </c>
      <c r="E217" s="7">
        <f>SUMIFS(Лист2!C:C,Лист2!B:B,Лист1!B217,Лист2!A:A,Лист1!A217)</f>
        <v>21</v>
      </c>
      <c r="F217" s="7">
        <f>SUMIFS(Лист2!$D:$D,Лист2!$B:$B,Лист1!$B217,Лист2!$A:$A,Лист1!$A217)</f>
        <v>2254</v>
      </c>
      <c r="G217" s="7">
        <f>SUMIFS(Лист2!$E:$E,Лист2!$B:$B,Лист1!$B217,Лист2!$A:$A,Лист1!$A217)</f>
        <v>2061</v>
      </c>
      <c r="H217" s="14">
        <f t="shared" si="6"/>
        <v>164252.5</v>
      </c>
      <c r="I217">
        <f t="shared" si="7"/>
        <v>21</v>
      </c>
    </row>
    <row r="218" spans="1:9" ht="14.25" customHeight="1" x14ac:dyDescent="0.3">
      <c r="A218" s="5">
        <v>43982</v>
      </c>
      <c r="B218" s="6" t="s">
        <v>17</v>
      </c>
      <c r="C218" s="6">
        <v>42423</v>
      </c>
      <c r="D218" s="6">
        <v>3994153.5</v>
      </c>
      <c r="E218" s="7">
        <f>SUMIFS(Лист2!C:C,Лист2!B:B,Лист1!B218,Лист2!A:A,Лист1!A218)</f>
        <v>23</v>
      </c>
      <c r="F218" s="7">
        <f>SUMIFS(Лист2!$D:$D,Лист2!$B:$B,Лист1!$B218,Лист2!$A:$A,Лист1!$A218)</f>
        <v>2522</v>
      </c>
      <c r="G218" s="7">
        <f>SUMIFS(Лист2!$E:$E,Лист2!$B:$B,Лист1!$B218,Лист2!$A:$A,Лист1!$A218)</f>
        <v>2295</v>
      </c>
      <c r="H218" s="14">
        <f t="shared" si="6"/>
        <v>173658.84782608695</v>
      </c>
      <c r="I218">
        <f t="shared" si="7"/>
        <v>22</v>
      </c>
    </row>
    <row r="219" spans="1:9" ht="14.25" customHeight="1" x14ac:dyDescent="0.3">
      <c r="A219" s="8">
        <v>43981</v>
      </c>
      <c r="B219" s="9" t="s">
        <v>17</v>
      </c>
      <c r="C219" s="9">
        <v>48286.5</v>
      </c>
      <c r="D219" s="9">
        <v>4456441.5</v>
      </c>
      <c r="E219" s="7">
        <f>SUMIFS(Лист2!C:C,Лист2!B:B,Лист1!B219,Лист2!A:A,Лист1!A219)</f>
        <v>22</v>
      </c>
      <c r="F219" s="7">
        <f>SUMIFS(Лист2!$D:$D,Лист2!$B:$B,Лист1!$B219,Лист2!$A:$A,Лист1!$A219)</f>
        <v>2793</v>
      </c>
      <c r="G219" s="7">
        <f>SUMIFS(Лист2!$E:$E,Лист2!$B:$B,Лист1!$B219,Лист2!$A:$A,Лист1!$A219)</f>
        <v>2539</v>
      </c>
      <c r="H219" s="14">
        <f t="shared" si="6"/>
        <v>202565.52272727274</v>
      </c>
      <c r="I219">
        <f t="shared" si="7"/>
        <v>22</v>
      </c>
    </row>
    <row r="220" spans="1:9" ht="14.25" customHeight="1" x14ac:dyDescent="0.3">
      <c r="A220" s="5">
        <v>43979</v>
      </c>
      <c r="B220" s="6" t="s">
        <v>17</v>
      </c>
      <c r="C220" s="6">
        <v>41442</v>
      </c>
      <c r="D220" s="6">
        <v>3893680.5</v>
      </c>
      <c r="E220" s="7">
        <f>SUMIFS(Лист2!C:C,Лист2!B:B,Лист1!B220,Лист2!A:A,Лист1!A220)</f>
        <v>22</v>
      </c>
      <c r="F220" s="7">
        <f>SUMIFS(Лист2!$D:$D,Лист2!$B:$B,Лист1!$B220,Лист2!$A:$A,Лист1!$A220)</f>
        <v>2454</v>
      </c>
      <c r="G220" s="7">
        <f>SUMIFS(Лист2!$E:$E,Лист2!$B:$B,Лист1!$B220,Лист2!$A:$A,Лист1!$A220)</f>
        <v>2239</v>
      </c>
      <c r="H220" s="14">
        <f t="shared" si="6"/>
        <v>176985.47727272726</v>
      </c>
      <c r="I220">
        <f t="shared" si="7"/>
        <v>22</v>
      </c>
    </row>
    <row r="221" spans="1:9" ht="14.25" customHeight="1" x14ac:dyDescent="0.3">
      <c r="A221" s="8">
        <v>43967</v>
      </c>
      <c r="B221" s="9" t="s">
        <v>18</v>
      </c>
      <c r="C221" s="9">
        <v>18600</v>
      </c>
      <c r="D221" s="9">
        <v>1601425.5</v>
      </c>
      <c r="E221" s="7">
        <f>SUMIFS(Лист2!C:C,Лист2!B:B,Лист1!B221,Лист2!A:A,Лист1!A221)</f>
        <v>15</v>
      </c>
      <c r="F221" s="7">
        <f>SUMIFS(Лист2!$D:$D,Лист2!$B:$B,Лист1!$B221,Лист2!$A:$A,Лист1!$A221)</f>
        <v>1111</v>
      </c>
      <c r="G221" s="7">
        <f>SUMIFS(Лист2!$E:$E,Лист2!$B:$B,Лист1!$B221,Лист2!$A:$A,Лист1!$A221)</f>
        <v>992</v>
      </c>
      <c r="H221" s="14">
        <f t="shared" si="6"/>
        <v>106761.7</v>
      </c>
      <c r="I221">
        <f t="shared" si="7"/>
        <v>20</v>
      </c>
    </row>
    <row r="222" spans="1:9" ht="14.25" customHeight="1" x14ac:dyDescent="0.3">
      <c r="A222" s="5">
        <v>43970</v>
      </c>
      <c r="B222" s="6" t="s">
        <v>18</v>
      </c>
      <c r="C222" s="6">
        <v>16638</v>
      </c>
      <c r="D222" s="6">
        <v>1364847</v>
      </c>
      <c r="E222" s="7">
        <f>SUMIFS(Лист2!C:C,Лист2!B:B,Лист1!B222,Лист2!A:A,Лист1!A222)</f>
        <v>16</v>
      </c>
      <c r="F222" s="7">
        <f>SUMIFS(Лист2!$D:$D,Лист2!$B:$B,Лист1!$B222,Лист2!$A:$A,Лист1!$A222)</f>
        <v>1012</v>
      </c>
      <c r="G222" s="7">
        <f>SUMIFS(Лист2!$E:$E,Лист2!$B:$B,Лист1!$B222,Лист2!$A:$A,Лист1!$A222)</f>
        <v>900</v>
      </c>
      <c r="H222" s="14">
        <f t="shared" si="6"/>
        <v>85302.9375</v>
      </c>
      <c r="I222">
        <f t="shared" si="7"/>
        <v>21</v>
      </c>
    </row>
    <row r="223" spans="1:9" ht="14.25" customHeight="1" x14ac:dyDescent="0.3">
      <c r="A223" s="8">
        <v>43968</v>
      </c>
      <c r="B223" s="9" t="s">
        <v>18</v>
      </c>
      <c r="C223" s="9">
        <v>15609</v>
      </c>
      <c r="D223" s="9">
        <v>1377577.5</v>
      </c>
      <c r="E223" s="7">
        <f>SUMIFS(Лист2!C:C,Лист2!B:B,Лист1!B223,Лист2!A:A,Лист1!A223)</f>
        <v>15</v>
      </c>
      <c r="F223" s="7">
        <f>SUMIFS(Лист2!$D:$D,Лист2!$B:$B,Лист1!$B223,Лист2!$A:$A,Лист1!$A223)</f>
        <v>971</v>
      </c>
      <c r="G223" s="7">
        <f>SUMIFS(Лист2!$E:$E,Лист2!$B:$B,Лист1!$B223,Лист2!$A:$A,Лист1!$A223)</f>
        <v>856</v>
      </c>
      <c r="H223" s="14">
        <f t="shared" si="6"/>
        <v>91838.5</v>
      </c>
      <c r="I223">
        <f t="shared" si="7"/>
        <v>20</v>
      </c>
    </row>
    <row r="224" spans="1:9" ht="14.25" customHeight="1" x14ac:dyDescent="0.3">
      <c r="A224" s="5">
        <v>43960</v>
      </c>
      <c r="B224" s="6" t="s">
        <v>18</v>
      </c>
      <c r="C224" s="6">
        <v>13948.5</v>
      </c>
      <c r="D224" s="6">
        <v>1222932</v>
      </c>
      <c r="E224" s="7">
        <f>SUMIFS(Лист2!C:C,Лист2!B:B,Лист1!B224,Лист2!A:A,Лист1!A224)</f>
        <v>15</v>
      </c>
      <c r="F224" s="7">
        <f>SUMIFS(Лист2!$D:$D,Лист2!$B:$B,Лист1!$B224,Лист2!$A:$A,Лист1!$A224)</f>
        <v>849</v>
      </c>
      <c r="G224" s="7">
        <f>SUMIFS(Лист2!$E:$E,Лист2!$B:$B,Лист1!$B224,Лист2!$A:$A,Лист1!$A224)</f>
        <v>740</v>
      </c>
      <c r="H224" s="14">
        <f t="shared" si="6"/>
        <v>81528.800000000003</v>
      </c>
      <c r="I224">
        <f t="shared" si="7"/>
        <v>19</v>
      </c>
    </row>
    <row r="225" spans="1:9" ht="14.25" customHeight="1" x14ac:dyDescent="0.3">
      <c r="A225" s="8">
        <v>43955</v>
      </c>
      <c r="B225" s="9" t="s">
        <v>18</v>
      </c>
      <c r="C225" s="9">
        <v>12301.5</v>
      </c>
      <c r="D225" s="9">
        <v>1085211</v>
      </c>
      <c r="E225" s="7">
        <f>SUMIFS(Лист2!C:C,Лист2!B:B,Лист1!B225,Лист2!A:A,Лист1!A225)</f>
        <v>15</v>
      </c>
      <c r="F225" s="7">
        <f>SUMIFS(Лист2!$D:$D,Лист2!$B:$B,Лист1!$B225,Лист2!$A:$A,Лист1!$A225)</f>
        <v>750</v>
      </c>
      <c r="G225" s="7">
        <f>SUMIFS(Лист2!$E:$E,Лист2!$B:$B,Лист1!$B225,Лист2!$A:$A,Лист1!$A225)</f>
        <v>647</v>
      </c>
      <c r="H225" s="14">
        <f t="shared" si="6"/>
        <v>72347.399999999994</v>
      </c>
      <c r="I225">
        <f t="shared" si="7"/>
        <v>19</v>
      </c>
    </row>
    <row r="226" spans="1:9" ht="14.25" customHeight="1" x14ac:dyDescent="0.3">
      <c r="A226" s="5">
        <v>43950</v>
      </c>
      <c r="B226" s="6" t="s">
        <v>18</v>
      </c>
      <c r="C226" s="6">
        <v>13014</v>
      </c>
      <c r="D226" s="6">
        <v>1115992.5</v>
      </c>
      <c r="E226" s="7">
        <f>SUMIFS(Лист2!C:C,Лист2!B:B,Лист1!B226,Лист2!A:A,Лист1!A226)</f>
        <v>15</v>
      </c>
      <c r="F226" s="7">
        <f>SUMIFS(Лист2!$D:$D,Лист2!$B:$B,Лист1!$B226,Лист2!$A:$A,Лист1!$A226)</f>
        <v>786</v>
      </c>
      <c r="G226" s="7">
        <f>SUMIFS(Лист2!$E:$E,Лист2!$B:$B,Лист1!$B226,Лист2!$A:$A,Лист1!$A226)</f>
        <v>695</v>
      </c>
      <c r="H226" s="14">
        <f t="shared" si="6"/>
        <v>74399.5</v>
      </c>
      <c r="I226">
        <f t="shared" si="7"/>
        <v>18</v>
      </c>
    </row>
    <row r="227" spans="1:9" ht="14.25" customHeight="1" x14ac:dyDescent="0.3">
      <c r="A227" s="8">
        <v>43953</v>
      </c>
      <c r="B227" s="9" t="s">
        <v>18</v>
      </c>
      <c r="C227" s="9">
        <v>12313.5</v>
      </c>
      <c r="D227" s="9">
        <v>1053220.5</v>
      </c>
      <c r="E227" s="7">
        <f>SUMIFS(Лист2!C:C,Лист2!B:B,Лист1!B227,Лист2!A:A,Лист1!A227)</f>
        <v>15</v>
      </c>
      <c r="F227" s="7">
        <f>SUMIFS(Лист2!$D:$D,Лист2!$B:$B,Лист1!$B227,Лист2!$A:$A,Лист1!$A227)</f>
        <v>751</v>
      </c>
      <c r="G227" s="7">
        <f>SUMIFS(Лист2!$E:$E,Лист2!$B:$B,Лист1!$B227,Лист2!$A:$A,Лист1!$A227)</f>
        <v>651</v>
      </c>
      <c r="H227" s="14">
        <f t="shared" si="6"/>
        <v>70214.7</v>
      </c>
      <c r="I227">
        <f t="shared" si="7"/>
        <v>18</v>
      </c>
    </row>
    <row r="228" spans="1:9" ht="14.25" customHeight="1" x14ac:dyDescent="0.3">
      <c r="A228" s="5">
        <v>43977</v>
      </c>
      <c r="B228" s="6" t="s">
        <v>18</v>
      </c>
      <c r="C228" s="6">
        <v>17391</v>
      </c>
      <c r="D228" s="6">
        <v>1489132.5</v>
      </c>
      <c r="E228" s="7">
        <f>SUMIFS(Лист2!C:C,Лист2!B:B,Лист1!B228,Лист2!A:A,Лист1!A228)</f>
        <v>17</v>
      </c>
      <c r="F228" s="7">
        <f>SUMIFS(Лист2!$D:$D,Лист2!$B:$B,Лист1!$B228,Лист2!$A:$A,Лист1!$A228)</f>
        <v>1140</v>
      </c>
      <c r="G228" s="7">
        <f>SUMIFS(Лист2!$E:$E,Лист2!$B:$B,Лист1!$B228,Лист2!$A:$A,Лист1!$A228)</f>
        <v>1016</v>
      </c>
      <c r="H228" s="14">
        <f t="shared" si="6"/>
        <v>87596.029411764699</v>
      </c>
      <c r="I228">
        <f t="shared" si="7"/>
        <v>22</v>
      </c>
    </row>
    <row r="229" spans="1:9" ht="14.25" customHeight="1" x14ac:dyDescent="0.3">
      <c r="A229" s="8">
        <v>43952</v>
      </c>
      <c r="B229" s="9" t="s">
        <v>18</v>
      </c>
      <c r="C229" s="9">
        <v>17113.5</v>
      </c>
      <c r="D229" s="9">
        <v>1465842</v>
      </c>
      <c r="E229" s="7">
        <f>SUMIFS(Лист2!C:C,Лист2!B:B,Лист1!B229,Лист2!A:A,Лист1!A229)</f>
        <v>15</v>
      </c>
      <c r="F229" s="7">
        <f>SUMIFS(Лист2!$D:$D,Лист2!$B:$B,Лист1!$B229,Лист2!$A:$A,Лист1!$A229)</f>
        <v>996</v>
      </c>
      <c r="G229" s="7">
        <f>SUMIFS(Лист2!$E:$E,Лист2!$B:$B,Лист1!$B229,Лист2!$A:$A,Лист1!$A229)</f>
        <v>888</v>
      </c>
      <c r="H229" s="14">
        <f t="shared" si="6"/>
        <v>97722.8</v>
      </c>
      <c r="I229">
        <f t="shared" si="7"/>
        <v>18</v>
      </c>
    </row>
    <row r="230" spans="1:9" ht="14.25" customHeight="1" x14ac:dyDescent="0.3">
      <c r="A230" s="5">
        <v>43963</v>
      </c>
      <c r="B230" s="6" t="s">
        <v>18</v>
      </c>
      <c r="C230" s="6">
        <v>12802.5</v>
      </c>
      <c r="D230" s="6">
        <v>1123830</v>
      </c>
      <c r="E230" s="7">
        <f>SUMIFS(Лист2!C:C,Лист2!B:B,Лист1!B230,Лист2!A:A,Лист1!A230)</f>
        <v>15</v>
      </c>
      <c r="F230" s="7">
        <f>SUMIFS(Лист2!$D:$D,Лист2!$B:$B,Лист1!$B230,Лист2!$A:$A,Лист1!$A230)</f>
        <v>845</v>
      </c>
      <c r="G230" s="7">
        <f>SUMIFS(Лист2!$E:$E,Лист2!$B:$B,Лист1!$B230,Лист2!$A:$A,Лист1!$A230)</f>
        <v>743</v>
      </c>
      <c r="H230" s="14">
        <f t="shared" si="6"/>
        <v>74922</v>
      </c>
      <c r="I230">
        <f t="shared" si="7"/>
        <v>20</v>
      </c>
    </row>
    <row r="231" spans="1:9" ht="14.25" customHeight="1" x14ac:dyDescent="0.3">
      <c r="A231" s="8">
        <v>43972</v>
      </c>
      <c r="B231" s="9" t="s">
        <v>18</v>
      </c>
      <c r="C231" s="9">
        <v>16554</v>
      </c>
      <c r="D231" s="9">
        <v>1380751.5</v>
      </c>
      <c r="E231" s="7">
        <f>SUMIFS(Лист2!C:C,Лист2!B:B,Лист1!B231,Лист2!A:A,Лист1!A231)</f>
        <v>17</v>
      </c>
      <c r="F231" s="7">
        <f>SUMIFS(Лист2!$D:$D,Лист2!$B:$B,Лист1!$B231,Лист2!$A:$A,Лист1!$A231)</f>
        <v>1045</v>
      </c>
      <c r="G231" s="7">
        <f>SUMIFS(Лист2!$E:$E,Лист2!$B:$B,Лист1!$B231,Лист2!$A:$A,Лист1!$A231)</f>
        <v>930</v>
      </c>
      <c r="H231" s="14">
        <f t="shared" si="6"/>
        <v>81220.676470588238</v>
      </c>
      <c r="I231">
        <f t="shared" si="7"/>
        <v>21</v>
      </c>
    </row>
    <row r="232" spans="1:9" ht="14.25" customHeight="1" x14ac:dyDescent="0.3">
      <c r="A232" s="5">
        <v>43971</v>
      </c>
      <c r="B232" s="6" t="s">
        <v>18</v>
      </c>
      <c r="C232" s="6">
        <v>17329.5</v>
      </c>
      <c r="D232" s="6">
        <v>1430254.5</v>
      </c>
      <c r="E232" s="7">
        <f>SUMIFS(Лист2!C:C,Лист2!B:B,Лист1!B232,Лист2!A:A,Лист1!A232)</f>
        <v>16</v>
      </c>
      <c r="F232" s="7">
        <f>SUMIFS(Лист2!$D:$D,Лист2!$B:$B,Лист1!$B232,Лист2!$A:$A,Лист1!$A232)</f>
        <v>1050</v>
      </c>
      <c r="G232" s="7">
        <f>SUMIFS(Лист2!$E:$E,Лист2!$B:$B,Лист1!$B232,Лист2!$A:$A,Лист1!$A232)</f>
        <v>938</v>
      </c>
      <c r="H232" s="14">
        <f t="shared" si="6"/>
        <v>89390.90625</v>
      </c>
      <c r="I232">
        <f t="shared" si="7"/>
        <v>21</v>
      </c>
    </row>
    <row r="233" spans="1:9" ht="14.25" customHeight="1" x14ac:dyDescent="0.3">
      <c r="A233" s="8">
        <v>43956</v>
      </c>
      <c r="B233" s="9" t="s">
        <v>18</v>
      </c>
      <c r="C233" s="9">
        <v>15987</v>
      </c>
      <c r="D233" s="9">
        <v>1384179</v>
      </c>
      <c r="E233" s="7">
        <f>SUMIFS(Лист2!C:C,Лист2!B:B,Лист1!B233,Лист2!A:A,Лист1!A233)</f>
        <v>15</v>
      </c>
      <c r="F233" s="7">
        <f>SUMIFS(Лист2!$D:$D,Лист2!$B:$B,Лист1!$B233,Лист2!$A:$A,Лист1!$A233)</f>
        <v>922</v>
      </c>
      <c r="G233" s="7">
        <f>SUMIFS(Лист2!$E:$E,Лист2!$B:$B,Лист1!$B233,Лист2!$A:$A,Лист1!$A233)</f>
        <v>823</v>
      </c>
      <c r="H233" s="14">
        <f t="shared" si="6"/>
        <v>92278.6</v>
      </c>
      <c r="I233">
        <f t="shared" si="7"/>
        <v>19</v>
      </c>
    </row>
    <row r="234" spans="1:9" ht="14.25" customHeight="1" x14ac:dyDescent="0.3">
      <c r="A234" s="5">
        <v>43949</v>
      </c>
      <c r="B234" s="6" t="s">
        <v>18</v>
      </c>
      <c r="C234" s="6">
        <v>13303.5</v>
      </c>
      <c r="D234" s="6">
        <v>1102887</v>
      </c>
      <c r="E234" s="7">
        <f>SUMIFS(Лист2!C:C,Лист2!B:B,Лист1!B234,Лист2!A:A,Лист1!A234)</f>
        <v>15</v>
      </c>
      <c r="F234" s="7">
        <f>SUMIFS(Лист2!$D:$D,Лист2!$B:$B,Лист1!$B234,Лист2!$A:$A,Лист1!$A234)</f>
        <v>780</v>
      </c>
      <c r="G234" s="7">
        <f>SUMIFS(Лист2!$E:$E,Лист2!$B:$B,Лист1!$B234,Лист2!$A:$A,Лист1!$A234)</f>
        <v>690</v>
      </c>
      <c r="H234" s="14">
        <f t="shared" si="6"/>
        <v>73525.8</v>
      </c>
      <c r="I234">
        <f t="shared" si="7"/>
        <v>18</v>
      </c>
    </row>
    <row r="235" spans="1:9" ht="14.25" customHeight="1" x14ac:dyDescent="0.3">
      <c r="A235" s="8">
        <v>43964</v>
      </c>
      <c r="B235" s="9" t="s">
        <v>18</v>
      </c>
      <c r="C235" s="9">
        <v>14305.5</v>
      </c>
      <c r="D235" s="9">
        <v>1243507.5</v>
      </c>
      <c r="E235" s="7">
        <f>SUMIFS(Лист2!C:C,Лист2!B:B,Лист1!B235,Лист2!A:A,Лист1!A235)</f>
        <v>15</v>
      </c>
      <c r="F235" s="7">
        <f>SUMIFS(Лист2!$D:$D,Лист2!$B:$B,Лист1!$B235,Лист2!$A:$A,Лист1!$A235)</f>
        <v>898</v>
      </c>
      <c r="G235" s="7">
        <f>SUMIFS(Лист2!$E:$E,Лист2!$B:$B,Лист1!$B235,Лист2!$A:$A,Лист1!$A235)</f>
        <v>795</v>
      </c>
      <c r="H235" s="14">
        <f t="shared" si="6"/>
        <v>82900.5</v>
      </c>
      <c r="I235">
        <f t="shared" si="7"/>
        <v>20</v>
      </c>
    </row>
    <row r="236" spans="1:9" ht="14.25" customHeight="1" x14ac:dyDescent="0.3">
      <c r="A236" s="5">
        <v>43954</v>
      </c>
      <c r="B236" s="6" t="s">
        <v>18</v>
      </c>
      <c r="C236" s="6">
        <v>12924</v>
      </c>
      <c r="D236" s="6">
        <v>1120009.5</v>
      </c>
      <c r="E236" s="7">
        <f>SUMIFS(Лист2!C:C,Лист2!B:B,Лист1!B236,Лист2!A:A,Лист1!A236)</f>
        <v>15</v>
      </c>
      <c r="F236" s="7">
        <f>SUMIFS(Лист2!$D:$D,Лист2!$B:$B,Лист1!$B236,Лист2!$A:$A,Лист1!$A236)</f>
        <v>784</v>
      </c>
      <c r="G236" s="7">
        <f>SUMIFS(Лист2!$E:$E,Лист2!$B:$B,Лист1!$B236,Лист2!$A:$A,Лист1!$A236)</f>
        <v>696</v>
      </c>
      <c r="H236" s="14">
        <f t="shared" si="6"/>
        <v>74667.3</v>
      </c>
      <c r="I236">
        <f t="shared" si="7"/>
        <v>18</v>
      </c>
    </row>
    <row r="237" spans="1:9" ht="14.25" customHeight="1" x14ac:dyDescent="0.3">
      <c r="A237" s="8">
        <v>43957</v>
      </c>
      <c r="B237" s="9" t="s">
        <v>18</v>
      </c>
      <c r="C237" s="9">
        <v>14061</v>
      </c>
      <c r="D237" s="9">
        <v>1221057</v>
      </c>
      <c r="E237" s="7">
        <f>SUMIFS(Лист2!C:C,Лист2!B:B,Лист1!B237,Лист2!A:A,Лист1!A237)</f>
        <v>15</v>
      </c>
      <c r="F237" s="7">
        <f>SUMIFS(Лист2!$D:$D,Лист2!$B:$B,Лист1!$B237,Лист2!$A:$A,Лист1!$A237)</f>
        <v>839</v>
      </c>
      <c r="G237" s="7">
        <f>SUMIFS(Лист2!$E:$E,Лист2!$B:$B,Лист1!$B237,Лист2!$A:$A,Лист1!$A237)</f>
        <v>733</v>
      </c>
      <c r="H237" s="14">
        <f t="shared" si="6"/>
        <v>81403.8</v>
      </c>
      <c r="I237">
        <f t="shared" si="7"/>
        <v>19</v>
      </c>
    </row>
    <row r="238" spans="1:9" ht="14.25" customHeight="1" x14ac:dyDescent="0.3">
      <c r="A238" s="5">
        <v>43974</v>
      </c>
      <c r="B238" s="6" t="s">
        <v>18</v>
      </c>
      <c r="C238" s="6">
        <v>21958.5</v>
      </c>
      <c r="D238" s="6">
        <v>1854001.5</v>
      </c>
      <c r="E238" s="7">
        <f>SUMIFS(Лист2!C:C,Лист2!B:B,Лист1!B238,Лист2!A:A,Лист1!A238)</f>
        <v>17</v>
      </c>
      <c r="F238" s="7">
        <f>SUMIFS(Лист2!$D:$D,Лист2!$B:$B,Лист1!$B238,Лист2!$A:$A,Лист1!$A238)</f>
        <v>1294</v>
      </c>
      <c r="G238" s="7">
        <f>SUMIFS(Лист2!$E:$E,Лист2!$B:$B,Лист1!$B238,Лист2!$A:$A,Лист1!$A238)</f>
        <v>1155</v>
      </c>
      <c r="H238" s="14">
        <f t="shared" si="6"/>
        <v>109058.91176470589</v>
      </c>
      <c r="I238">
        <f t="shared" si="7"/>
        <v>21</v>
      </c>
    </row>
    <row r="239" spans="1:9" ht="14.25" customHeight="1" x14ac:dyDescent="0.3">
      <c r="A239" s="8">
        <v>43976</v>
      </c>
      <c r="B239" s="9" t="s">
        <v>18</v>
      </c>
      <c r="C239" s="9">
        <v>17211</v>
      </c>
      <c r="D239" s="9">
        <v>1507867.5</v>
      </c>
      <c r="E239" s="7">
        <f>SUMIFS(Лист2!C:C,Лист2!B:B,Лист1!B239,Лист2!A:A,Лист1!A239)</f>
        <v>17</v>
      </c>
      <c r="F239" s="7">
        <f>SUMIFS(Лист2!$D:$D,Лист2!$B:$B,Лист1!$B239,Лист2!$A:$A,Лист1!$A239)</f>
        <v>1142</v>
      </c>
      <c r="G239" s="7">
        <f>SUMIFS(Лист2!$E:$E,Лист2!$B:$B,Лист1!$B239,Лист2!$A:$A,Лист1!$A239)</f>
        <v>1020</v>
      </c>
      <c r="H239" s="14">
        <f t="shared" si="6"/>
        <v>88698.088235294112</v>
      </c>
      <c r="I239">
        <f t="shared" si="7"/>
        <v>22</v>
      </c>
    </row>
    <row r="240" spans="1:9" ht="14.25" customHeight="1" x14ac:dyDescent="0.3">
      <c r="A240" s="5">
        <v>43951</v>
      </c>
      <c r="B240" s="6" t="s">
        <v>18</v>
      </c>
      <c r="C240" s="6">
        <v>12753</v>
      </c>
      <c r="D240" s="6">
        <v>1103068.5</v>
      </c>
      <c r="E240" s="7">
        <f>SUMIFS(Лист2!C:C,Лист2!B:B,Лист1!B240,Лист2!A:A,Лист1!A240)</f>
        <v>15</v>
      </c>
      <c r="F240" s="7">
        <f>SUMIFS(Лист2!$D:$D,Лист2!$B:$B,Лист1!$B240,Лист2!$A:$A,Лист1!$A240)</f>
        <v>791</v>
      </c>
      <c r="G240" s="7">
        <f>SUMIFS(Лист2!$E:$E,Лист2!$B:$B,Лист1!$B240,Лист2!$A:$A,Лист1!$A240)</f>
        <v>691</v>
      </c>
      <c r="H240" s="14">
        <f t="shared" si="6"/>
        <v>73537.899999999994</v>
      </c>
      <c r="I240">
        <f t="shared" si="7"/>
        <v>18</v>
      </c>
    </row>
    <row r="241" spans="1:9" ht="14.25" customHeight="1" x14ac:dyDescent="0.3">
      <c r="A241" s="8">
        <v>43961</v>
      </c>
      <c r="B241" s="9" t="s">
        <v>18</v>
      </c>
      <c r="C241" s="9">
        <v>16435.5</v>
      </c>
      <c r="D241" s="9">
        <v>1471537.5</v>
      </c>
      <c r="E241" s="7">
        <f>SUMIFS(Лист2!C:C,Лист2!B:B,Лист1!B241,Лист2!A:A,Лист1!A241)</f>
        <v>15</v>
      </c>
      <c r="F241" s="7">
        <f>SUMIFS(Лист2!$D:$D,Лист2!$B:$B,Лист1!$B241,Лист2!$A:$A,Лист1!$A241)</f>
        <v>950</v>
      </c>
      <c r="G241" s="7">
        <f>SUMIFS(Лист2!$E:$E,Лист2!$B:$B,Лист1!$B241,Лист2!$A:$A,Лист1!$A241)</f>
        <v>848</v>
      </c>
      <c r="H241" s="14">
        <f t="shared" si="6"/>
        <v>98102.5</v>
      </c>
      <c r="I241">
        <f t="shared" si="7"/>
        <v>19</v>
      </c>
    </row>
    <row r="242" spans="1:9" ht="14.25" customHeight="1" x14ac:dyDescent="0.3">
      <c r="A242" s="5">
        <v>43959</v>
      </c>
      <c r="B242" s="6" t="s">
        <v>18</v>
      </c>
      <c r="C242" s="6">
        <v>14494.5</v>
      </c>
      <c r="D242" s="6">
        <v>1269786</v>
      </c>
      <c r="E242" s="7">
        <f>SUMIFS(Лист2!C:C,Лист2!B:B,Лист1!B242,Лист2!A:A,Лист1!A242)</f>
        <v>15</v>
      </c>
      <c r="F242" s="7">
        <f>SUMIFS(Лист2!$D:$D,Лист2!$B:$B,Лист1!$B242,Лист2!$A:$A,Лист1!$A242)</f>
        <v>879</v>
      </c>
      <c r="G242" s="7">
        <f>SUMIFS(Лист2!$E:$E,Лист2!$B:$B,Лист1!$B242,Лист2!$A:$A,Лист1!$A242)</f>
        <v>768</v>
      </c>
      <c r="H242" s="14">
        <f t="shared" si="6"/>
        <v>84652.4</v>
      </c>
      <c r="I242">
        <f t="shared" si="7"/>
        <v>19</v>
      </c>
    </row>
    <row r="243" spans="1:9" ht="14.25" customHeight="1" x14ac:dyDescent="0.3">
      <c r="A243" s="8">
        <v>43958</v>
      </c>
      <c r="B243" s="9" t="s">
        <v>18</v>
      </c>
      <c r="C243" s="9">
        <v>12705</v>
      </c>
      <c r="D243" s="9">
        <v>1123894.5</v>
      </c>
      <c r="E243" s="7">
        <f>SUMIFS(Лист2!C:C,Лист2!B:B,Лист1!B243,Лист2!A:A,Лист1!A243)</f>
        <v>15</v>
      </c>
      <c r="F243" s="7">
        <f>SUMIFS(Лист2!$D:$D,Лист2!$B:$B,Лист1!$B243,Лист2!$A:$A,Лист1!$A243)</f>
        <v>805</v>
      </c>
      <c r="G243" s="7">
        <f>SUMIFS(Лист2!$E:$E,Лист2!$B:$B,Лист1!$B243,Лист2!$A:$A,Лист1!$A243)</f>
        <v>703</v>
      </c>
      <c r="H243" s="14">
        <f t="shared" si="6"/>
        <v>74926.3</v>
      </c>
      <c r="I243">
        <f t="shared" si="7"/>
        <v>19</v>
      </c>
    </row>
    <row r="244" spans="1:9" ht="14.25" customHeight="1" x14ac:dyDescent="0.3">
      <c r="A244" s="5">
        <v>43975</v>
      </c>
      <c r="B244" s="6" t="s">
        <v>18</v>
      </c>
      <c r="C244" s="6">
        <v>18075</v>
      </c>
      <c r="D244" s="6">
        <v>1548099</v>
      </c>
      <c r="E244" s="7">
        <f>SUMIFS(Лист2!C:C,Лист2!B:B,Лист1!B244,Лист2!A:A,Лист1!A244)</f>
        <v>17</v>
      </c>
      <c r="F244" s="7">
        <f>SUMIFS(Лист2!$D:$D,Лист2!$B:$B,Лист1!$B244,Лист2!$A:$A,Лист1!$A244)</f>
        <v>1128</v>
      </c>
      <c r="G244" s="7">
        <f>SUMIFS(Лист2!$E:$E,Лист2!$B:$B,Лист1!$B244,Лист2!$A:$A,Лист1!$A244)</f>
        <v>1001</v>
      </c>
      <c r="H244" s="14">
        <f t="shared" si="6"/>
        <v>91064.647058823524</v>
      </c>
      <c r="I244">
        <f t="shared" si="7"/>
        <v>21</v>
      </c>
    </row>
    <row r="245" spans="1:9" ht="14.25" customHeight="1" x14ac:dyDescent="0.3">
      <c r="A245" s="8">
        <v>43967</v>
      </c>
      <c r="B245" s="9" t="s">
        <v>19</v>
      </c>
      <c r="C245" s="9">
        <v>13120.5</v>
      </c>
      <c r="D245" s="9">
        <v>1215033</v>
      </c>
      <c r="E245" s="7">
        <f>SUMIFS(Лист2!C:C,Лист2!B:B,Лист1!B245,Лист2!A:A,Лист1!A245)</f>
        <v>15</v>
      </c>
      <c r="F245" s="7">
        <f>SUMIFS(Лист2!$D:$D,Лист2!$B:$B,Лист1!$B245,Лист2!$A:$A,Лист1!$A245)</f>
        <v>747</v>
      </c>
      <c r="G245" s="7">
        <f>SUMIFS(Лист2!$E:$E,Лист2!$B:$B,Лист1!$B245,Лист2!$A:$A,Лист1!$A245)</f>
        <v>647</v>
      </c>
      <c r="H245" s="14">
        <f t="shared" si="6"/>
        <v>81002.2</v>
      </c>
      <c r="I245">
        <f t="shared" si="7"/>
        <v>20</v>
      </c>
    </row>
    <row r="246" spans="1:9" ht="14.25" customHeight="1" x14ac:dyDescent="0.3">
      <c r="A246" s="5">
        <v>43970</v>
      </c>
      <c r="B246" s="6" t="s">
        <v>19</v>
      </c>
      <c r="C246" s="6">
        <v>16237.5</v>
      </c>
      <c r="D246" s="6">
        <v>1403047.5</v>
      </c>
      <c r="E246" s="7">
        <f>SUMIFS(Лист2!C:C,Лист2!B:B,Лист1!B246,Лист2!A:A,Лист1!A246)</f>
        <v>15</v>
      </c>
      <c r="F246" s="7">
        <f>SUMIFS(Лист2!$D:$D,Лист2!$B:$B,Лист1!$B246,Лист2!$A:$A,Лист1!$A246)</f>
        <v>930</v>
      </c>
      <c r="G246" s="7">
        <f>SUMIFS(Лист2!$E:$E,Лист2!$B:$B,Лист1!$B246,Лист2!$A:$A,Лист1!$A246)</f>
        <v>827</v>
      </c>
      <c r="H246" s="14">
        <f t="shared" si="6"/>
        <v>93536.5</v>
      </c>
      <c r="I246">
        <f t="shared" si="7"/>
        <v>21</v>
      </c>
    </row>
    <row r="247" spans="1:9" ht="14.25" customHeight="1" x14ac:dyDescent="0.3">
      <c r="A247" s="8">
        <v>43968</v>
      </c>
      <c r="B247" s="9" t="s">
        <v>19</v>
      </c>
      <c r="C247" s="9">
        <v>11967</v>
      </c>
      <c r="D247" s="9">
        <v>1060489.5</v>
      </c>
      <c r="E247" s="7">
        <f>SUMIFS(Лист2!C:C,Лист2!B:B,Лист1!B247,Лист2!A:A,Лист1!A247)</f>
        <v>15</v>
      </c>
      <c r="F247" s="7">
        <f>SUMIFS(Лист2!$D:$D,Лист2!$B:$B,Лист1!$B247,Лист2!$A:$A,Лист1!$A247)</f>
        <v>692</v>
      </c>
      <c r="G247" s="7">
        <f>SUMIFS(Лист2!$E:$E,Лист2!$B:$B,Лист1!$B247,Лист2!$A:$A,Лист1!$A247)</f>
        <v>591</v>
      </c>
      <c r="H247" s="14">
        <f t="shared" si="6"/>
        <v>70699.3</v>
      </c>
      <c r="I247">
        <f t="shared" si="7"/>
        <v>20</v>
      </c>
    </row>
    <row r="248" spans="1:9" ht="14.25" customHeight="1" x14ac:dyDescent="0.3">
      <c r="A248" s="5">
        <v>43960</v>
      </c>
      <c r="B248" s="6" t="s">
        <v>19</v>
      </c>
      <c r="C248" s="6">
        <v>12037.5</v>
      </c>
      <c r="D248" s="6">
        <v>1081216.5</v>
      </c>
      <c r="E248" s="7">
        <f>SUMIFS(Лист2!C:C,Лист2!B:B,Лист1!B248,Лист2!A:A,Лист1!A248)</f>
        <v>15</v>
      </c>
      <c r="F248" s="7">
        <f>SUMIFS(Лист2!$D:$D,Лист2!$B:$B,Лист1!$B248,Лист2!$A:$A,Лист1!$A248)</f>
        <v>623</v>
      </c>
      <c r="G248" s="7">
        <f>SUMIFS(Лист2!$E:$E,Лист2!$B:$B,Лист1!$B248,Лист2!$A:$A,Лист1!$A248)</f>
        <v>535</v>
      </c>
      <c r="H248" s="14">
        <f t="shared" si="6"/>
        <v>72081.100000000006</v>
      </c>
      <c r="I248">
        <f t="shared" si="7"/>
        <v>19</v>
      </c>
    </row>
    <row r="249" spans="1:9" ht="14.25" customHeight="1" x14ac:dyDescent="0.3">
      <c r="A249" s="8">
        <v>43955</v>
      </c>
      <c r="B249" s="9" t="s">
        <v>19</v>
      </c>
      <c r="C249" s="9">
        <v>7087.5</v>
      </c>
      <c r="D249" s="9">
        <v>610855.5</v>
      </c>
      <c r="E249" s="7">
        <f>SUMIFS(Лист2!C:C,Лист2!B:B,Лист1!B249,Лист2!A:A,Лист1!A249)</f>
        <v>15</v>
      </c>
      <c r="F249" s="7">
        <f>SUMIFS(Лист2!$D:$D,Лист2!$B:$B,Лист1!$B249,Лист2!$A:$A,Лист1!$A249)</f>
        <v>390</v>
      </c>
      <c r="G249" s="7">
        <f>SUMIFS(Лист2!$E:$E,Лист2!$B:$B,Лист1!$B249,Лист2!$A:$A,Лист1!$A249)</f>
        <v>315</v>
      </c>
      <c r="H249" s="14">
        <f t="shared" si="6"/>
        <v>40723.699999999997</v>
      </c>
      <c r="I249">
        <f t="shared" si="7"/>
        <v>19</v>
      </c>
    </row>
    <row r="250" spans="1:9" ht="14.25" customHeight="1" x14ac:dyDescent="0.3">
      <c r="A250" s="5">
        <v>43950</v>
      </c>
      <c r="B250" s="6" t="s">
        <v>20</v>
      </c>
      <c r="C250" s="6">
        <v>25816.5</v>
      </c>
      <c r="D250" s="6">
        <v>2360914.5</v>
      </c>
      <c r="E250" s="7">
        <f>SUMIFS(Лист2!C:C,Лист2!B:B,Лист1!B250,Лист2!A:A,Лист1!A250)</f>
        <v>18</v>
      </c>
      <c r="F250" s="7">
        <f>SUMIFS(Лист2!$D:$D,Лист2!$B:$B,Лист1!$B250,Лист2!$A:$A,Лист1!$A250)</f>
        <v>1599</v>
      </c>
      <c r="G250" s="7">
        <f>SUMIFS(Лист2!$E:$E,Лист2!$B:$B,Лист1!$B250,Лист2!$A:$A,Лист1!$A250)</f>
        <v>1450</v>
      </c>
      <c r="H250" s="14">
        <f t="shared" si="6"/>
        <v>131161.91666666666</v>
      </c>
      <c r="I250">
        <f t="shared" si="7"/>
        <v>18</v>
      </c>
    </row>
    <row r="251" spans="1:9" ht="14.25" customHeight="1" x14ac:dyDescent="0.3">
      <c r="A251" s="8">
        <v>43953</v>
      </c>
      <c r="B251" s="9" t="s">
        <v>19</v>
      </c>
      <c r="C251" s="9">
        <v>4624.5</v>
      </c>
      <c r="D251" s="9">
        <v>433243.5</v>
      </c>
      <c r="E251" s="7">
        <f>SUMIFS(Лист2!C:C,Лист2!B:B,Лист1!B251,Лист2!A:A,Лист1!A251)</f>
        <v>15</v>
      </c>
      <c r="F251" s="7">
        <f>SUMIFS(Лист2!$D:$D,Лист2!$B:$B,Лист1!$B251,Лист2!$A:$A,Лист1!$A251)</f>
        <v>274</v>
      </c>
      <c r="G251" s="7">
        <f>SUMIFS(Лист2!$E:$E,Лист2!$B:$B,Лист1!$B251,Лист2!$A:$A,Лист1!$A251)</f>
        <v>203</v>
      </c>
      <c r="H251" s="14">
        <f t="shared" si="6"/>
        <v>28882.9</v>
      </c>
      <c r="I251">
        <f t="shared" si="7"/>
        <v>18</v>
      </c>
    </row>
    <row r="252" spans="1:9" ht="14.25" customHeight="1" x14ac:dyDescent="0.3">
      <c r="A252" s="5">
        <v>43977</v>
      </c>
      <c r="B252" s="6" t="s">
        <v>19</v>
      </c>
      <c r="C252" s="6">
        <v>12259.5</v>
      </c>
      <c r="D252" s="6">
        <v>1152054</v>
      </c>
      <c r="E252" s="7">
        <f>SUMIFS(Лист2!C:C,Лист2!B:B,Лист1!B252,Лист2!A:A,Лист1!A252)</f>
        <v>15</v>
      </c>
      <c r="F252" s="7">
        <f>SUMIFS(Лист2!$D:$D,Лист2!$B:$B,Лист1!$B252,Лист2!$A:$A,Лист1!$A252)</f>
        <v>812</v>
      </c>
      <c r="G252" s="7">
        <f>SUMIFS(Лист2!$E:$E,Лист2!$B:$B,Лист1!$B252,Лист2!$A:$A,Лист1!$A252)</f>
        <v>711</v>
      </c>
      <c r="H252" s="14">
        <f t="shared" si="6"/>
        <v>76803.600000000006</v>
      </c>
      <c r="I252">
        <f t="shared" si="7"/>
        <v>22</v>
      </c>
    </row>
    <row r="253" spans="1:9" ht="14.25" customHeight="1" x14ac:dyDescent="0.3">
      <c r="A253" s="8">
        <v>43952</v>
      </c>
      <c r="B253" s="9" t="s">
        <v>19</v>
      </c>
      <c r="C253" s="9">
        <v>5446.5</v>
      </c>
      <c r="D253" s="9">
        <v>505572</v>
      </c>
      <c r="E253" s="7">
        <f>SUMIFS(Лист2!C:C,Лист2!B:B,Лист1!B253,Лист2!A:A,Лист1!A253)</f>
        <v>15</v>
      </c>
      <c r="F253" s="7">
        <f>SUMIFS(Лист2!$D:$D,Лист2!$B:$B,Лист1!$B253,Лист2!$A:$A,Лист1!$A253)</f>
        <v>294</v>
      </c>
      <c r="G253" s="7">
        <f>SUMIFS(Лист2!$E:$E,Лист2!$B:$B,Лист1!$B253,Лист2!$A:$A,Лист1!$A253)</f>
        <v>225</v>
      </c>
      <c r="H253" s="14">
        <f t="shared" si="6"/>
        <v>33704.800000000003</v>
      </c>
      <c r="I253">
        <f t="shared" si="7"/>
        <v>18</v>
      </c>
    </row>
    <row r="254" spans="1:9" ht="14.25" customHeight="1" x14ac:dyDescent="0.3">
      <c r="A254" s="5">
        <v>43963</v>
      </c>
      <c r="B254" s="6" t="s">
        <v>19</v>
      </c>
      <c r="C254" s="6">
        <v>11296.5</v>
      </c>
      <c r="D254" s="6">
        <v>989632.5</v>
      </c>
      <c r="E254" s="7">
        <f>SUMIFS(Лист2!C:C,Лист2!B:B,Лист1!B254,Лист2!A:A,Лист1!A254)</f>
        <v>15</v>
      </c>
      <c r="F254" s="7">
        <f>SUMIFS(Лист2!$D:$D,Лист2!$B:$B,Лист1!$B254,Лист2!$A:$A,Лист1!$A254)</f>
        <v>624</v>
      </c>
      <c r="G254" s="7">
        <f>SUMIFS(Лист2!$E:$E,Лист2!$B:$B,Лист1!$B254,Лист2!$A:$A,Лист1!$A254)</f>
        <v>538</v>
      </c>
      <c r="H254" s="14">
        <f t="shared" si="6"/>
        <v>65975.5</v>
      </c>
      <c r="I254">
        <f t="shared" si="7"/>
        <v>20</v>
      </c>
    </row>
    <row r="255" spans="1:9" ht="14.25" customHeight="1" x14ac:dyDescent="0.3">
      <c r="A255" s="8">
        <v>43972</v>
      </c>
      <c r="B255" s="9" t="s">
        <v>19</v>
      </c>
      <c r="C255" s="9">
        <v>12135</v>
      </c>
      <c r="D255" s="9">
        <v>1103623.5</v>
      </c>
      <c r="E255" s="7">
        <f>SUMIFS(Лист2!C:C,Лист2!B:B,Лист1!B255,Лист2!A:A,Лист1!A255)</f>
        <v>15</v>
      </c>
      <c r="F255" s="7">
        <f>SUMIFS(Лист2!$D:$D,Лист2!$B:$B,Лист1!$B255,Лист2!$A:$A,Лист1!$A255)</f>
        <v>749</v>
      </c>
      <c r="G255" s="7">
        <f>SUMIFS(Лист2!$E:$E,Лист2!$B:$B,Лист1!$B255,Лист2!$A:$A,Лист1!$A255)</f>
        <v>652</v>
      </c>
      <c r="H255" s="14">
        <f t="shared" si="6"/>
        <v>73574.899999999994</v>
      </c>
      <c r="I255">
        <f t="shared" si="7"/>
        <v>21</v>
      </c>
    </row>
    <row r="256" spans="1:9" ht="14.25" customHeight="1" x14ac:dyDescent="0.3">
      <c r="A256" s="5">
        <v>43971</v>
      </c>
      <c r="B256" s="6" t="s">
        <v>19</v>
      </c>
      <c r="C256" s="6">
        <v>12630</v>
      </c>
      <c r="D256" s="6">
        <v>1104858</v>
      </c>
      <c r="E256" s="7">
        <f>SUMIFS(Лист2!C:C,Лист2!B:B,Лист1!B256,Лист2!A:A,Лист1!A256)</f>
        <v>15</v>
      </c>
      <c r="F256" s="7">
        <f>SUMIFS(Лист2!$D:$D,Лист2!$B:$B,Лист1!$B256,Лист2!$A:$A,Лист1!$A256)</f>
        <v>760</v>
      </c>
      <c r="G256" s="7">
        <f>SUMIFS(Лист2!$E:$E,Лист2!$B:$B,Лист1!$B256,Лист2!$A:$A,Лист1!$A256)</f>
        <v>664</v>
      </c>
      <c r="H256" s="14">
        <f t="shared" si="6"/>
        <v>73657.2</v>
      </c>
      <c r="I256">
        <f t="shared" si="7"/>
        <v>21</v>
      </c>
    </row>
    <row r="257" spans="1:9" ht="14.25" customHeight="1" x14ac:dyDescent="0.3">
      <c r="A257" s="8">
        <v>43956</v>
      </c>
      <c r="B257" s="9" t="s">
        <v>19</v>
      </c>
      <c r="C257" s="9">
        <v>8223</v>
      </c>
      <c r="D257" s="9">
        <v>694593</v>
      </c>
      <c r="E257" s="7">
        <f>SUMIFS(Лист2!C:C,Лист2!B:B,Лист1!B257,Лист2!A:A,Лист1!A257)</f>
        <v>15</v>
      </c>
      <c r="F257" s="7">
        <f>SUMIFS(Лист2!$D:$D,Лист2!$B:$B,Лист1!$B257,Лист2!$A:$A,Лист1!$A257)</f>
        <v>455</v>
      </c>
      <c r="G257" s="7">
        <f>SUMIFS(Лист2!$E:$E,Лист2!$B:$B,Лист1!$B257,Лист2!$A:$A,Лист1!$A257)</f>
        <v>381</v>
      </c>
      <c r="H257" s="14">
        <f t="shared" si="6"/>
        <v>46306.2</v>
      </c>
      <c r="I257">
        <f t="shared" si="7"/>
        <v>19</v>
      </c>
    </row>
    <row r="258" spans="1:9" ht="14.25" customHeight="1" x14ac:dyDescent="0.3">
      <c r="A258" s="5">
        <v>43949</v>
      </c>
      <c r="B258" s="6" t="s">
        <v>20</v>
      </c>
      <c r="C258" s="6">
        <v>25149</v>
      </c>
      <c r="D258" s="6">
        <v>2277072</v>
      </c>
      <c r="E258" s="7">
        <f>SUMIFS(Лист2!C:C,Лист2!B:B,Лист1!B258,Лист2!A:A,Лист1!A258)</f>
        <v>18</v>
      </c>
      <c r="F258" s="7">
        <f>SUMIFS(Лист2!$D:$D,Лист2!$B:$B,Лист1!$B258,Лист2!$A:$A,Лист1!$A258)</f>
        <v>1505</v>
      </c>
      <c r="G258" s="7">
        <f>SUMIFS(Лист2!$E:$E,Лист2!$B:$B,Лист1!$B258,Лист2!$A:$A,Лист1!$A258)</f>
        <v>1368</v>
      </c>
      <c r="H258" s="14">
        <f t="shared" si="6"/>
        <v>126504</v>
      </c>
      <c r="I258">
        <f t="shared" si="7"/>
        <v>18</v>
      </c>
    </row>
    <row r="259" spans="1:9" ht="14.25" customHeight="1" x14ac:dyDescent="0.3">
      <c r="A259" s="8">
        <v>43964</v>
      </c>
      <c r="B259" s="9" t="s">
        <v>19</v>
      </c>
      <c r="C259" s="9">
        <v>10401</v>
      </c>
      <c r="D259" s="9">
        <v>949912.5</v>
      </c>
      <c r="E259" s="7">
        <f>SUMIFS(Лист2!C:C,Лист2!B:B,Лист1!B259,Лист2!A:A,Лист1!A259)</f>
        <v>15</v>
      </c>
      <c r="F259" s="7">
        <f>SUMIFS(Лист2!$D:$D,Лист2!$B:$B,Лист1!$B259,Лист2!$A:$A,Лист1!$A259)</f>
        <v>599</v>
      </c>
      <c r="G259" s="7">
        <f>SUMIFS(Лист2!$E:$E,Лист2!$B:$B,Лист1!$B259,Лист2!$A:$A,Лист1!$A259)</f>
        <v>515</v>
      </c>
      <c r="H259" s="14">
        <f t="shared" ref="H259:H322" si="8">D259/E259</f>
        <v>63327.5</v>
      </c>
      <c r="I259">
        <f t="shared" ref="I259:I322" si="9">WEEKNUM(A259,2)</f>
        <v>20</v>
      </c>
    </row>
    <row r="260" spans="1:9" ht="14.25" customHeight="1" x14ac:dyDescent="0.3">
      <c r="A260" s="5">
        <v>43982</v>
      </c>
      <c r="B260" s="6" t="s">
        <v>18</v>
      </c>
      <c r="C260" s="6">
        <v>17689.5</v>
      </c>
      <c r="D260" s="6">
        <v>1592119.5</v>
      </c>
      <c r="E260" s="7">
        <f>SUMIFS(Лист2!C:C,Лист2!B:B,Лист1!B260,Лист2!A:A,Лист1!A260)</f>
        <v>17</v>
      </c>
      <c r="F260" s="7">
        <f>SUMIFS(Лист2!$D:$D,Лист2!$B:$B,Лист1!$B260,Лист2!$A:$A,Лист1!$A260)</f>
        <v>1186</v>
      </c>
      <c r="G260" s="7">
        <f>SUMIFS(Лист2!$E:$E,Лист2!$B:$B,Лист1!$B260,Лист2!$A:$A,Лист1!$A260)</f>
        <v>1054</v>
      </c>
      <c r="H260" s="14">
        <f t="shared" si="8"/>
        <v>93654.088235294112</v>
      </c>
      <c r="I260">
        <f t="shared" si="9"/>
        <v>22</v>
      </c>
    </row>
    <row r="261" spans="1:9" ht="14.25" customHeight="1" x14ac:dyDescent="0.3">
      <c r="A261" s="8">
        <v>43954</v>
      </c>
      <c r="B261" s="9" t="s">
        <v>19</v>
      </c>
      <c r="C261" s="9">
        <v>8127</v>
      </c>
      <c r="D261" s="9">
        <v>665302.5</v>
      </c>
      <c r="E261" s="7">
        <f>SUMIFS(Лист2!C:C,Лист2!B:B,Лист1!B261,Лист2!A:A,Лист1!A261)</f>
        <v>15</v>
      </c>
      <c r="F261" s="7">
        <f>SUMIFS(Лист2!$D:$D,Лист2!$B:$B,Лист1!$B261,Лист2!$A:$A,Лист1!$A261)</f>
        <v>455</v>
      </c>
      <c r="G261" s="7">
        <f>SUMIFS(Лист2!$E:$E,Лист2!$B:$B,Лист1!$B261,Лист2!$A:$A,Лист1!$A261)</f>
        <v>384</v>
      </c>
      <c r="H261" s="14">
        <f t="shared" si="8"/>
        <v>44353.5</v>
      </c>
      <c r="I261">
        <f t="shared" si="9"/>
        <v>18</v>
      </c>
    </row>
    <row r="262" spans="1:9" ht="14.25" customHeight="1" x14ac:dyDescent="0.3">
      <c r="A262" s="5">
        <v>43981</v>
      </c>
      <c r="B262" s="6" t="s">
        <v>18</v>
      </c>
      <c r="C262" s="6">
        <v>27250.5</v>
      </c>
      <c r="D262" s="6">
        <v>2457252</v>
      </c>
      <c r="E262" s="7">
        <f>SUMIFS(Лист2!C:C,Лист2!B:B,Лист1!B262,Лист2!A:A,Лист1!A262)</f>
        <v>17</v>
      </c>
      <c r="F262" s="7">
        <f>SUMIFS(Лист2!$D:$D,Лист2!$B:$B,Лист1!$B262,Лист2!$A:$A,Лист1!$A262)</f>
        <v>1697</v>
      </c>
      <c r="G262" s="7">
        <f>SUMIFS(Лист2!$E:$E,Лист2!$B:$B,Лист1!$B262,Лист2!$A:$A,Лист1!$A262)</f>
        <v>1499</v>
      </c>
      <c r="H262" s="14">
        <f t="shared" si="8"/>
        <v>144544.23529411765</v>
      </c>
      <c r="I262">
        <f t="shared" si="9"/>
        <v>22</v>
      </c>
    </row>
    <row r="263" spans="1:9" ht="14.25" customHeight="1" x14ac:dyDescent="0.3">
      <c r="A263" s="8">
        <v>43957</v>
      </c>
      <c r="B263" s="9" t="s">
        <v>19</v>
      </c>
      <c r="C263" s="9">
        <v>8464.5</v>
      </c>
      <c r="D263" s="9">
        <v>739291.5</v>
      </c>
      <c r="E263" s="7">
        <f>SUMIFS(Лист2!C:C,Лист2!B:B,Лист1!B263,Лист2!A:A,Лист1!A263)</f>
        <v>15</v>
      </c>
      <c r="F263" s="7">
        <f>SUMIFS(Лист2!$D:$D,Лист2!$B:$B,Лист1!$B263,Лист2!$A:$A,Лист1!$A263)</f>
        <v>467</v>
      </c>
      <c r="G263" s="7">
        <f>SUMIFS(Лист2!$E:$E,Лист2!$B:$B,Лист1!$B263,Лист2!$A:$A,Лист1!$A263)</f>
        <v>389</v>
      </c>
      <c r="H263" s="14">
        <f t="shared" si="8"/>
        <v>49286.1</v>
      </c>
      <c r="I263">
        <f t="shared" si="9"/>
        <v>19</v>
      </c>
    </row>
    <row r="264" spans="1:9" ht="14.25" customHeight="1" x14ac:dyDescent="0.3">
      <c r="A264" s="5">
        <v>43974</v>
      </c>
      <c r="B264" s="6" t="s">
        <v>19</v>
      </c>
      <c r="C264" s="6">
        <v>14167.5</v>
      </c>
      <c r="D264" s="6">
        <v>1315075.5</v>
      </c>
      <c r="E264" s="7">
        <f>SUMIFS(Лист2!C:C,Лист2!B:B,Лист1!B264,Лист2!A:A,Лист1!A264)</f>
        <v>15</v>
      </c>
      <c r="F264" s="7">
        <f>SUMIFS(Лист2!$D:$D,Лист2!$B:$B,Лист1!$B264,Лист2!$A:$A,Лист1!$A264)</f>
        <v>840</v>
      </c>
      <c r="G264" s="7">
        <f>SUMIFS(Лист2!$E:$E,Лист2!$B:$B,Лист1!$B264,Лист2!$A:$A,Лист1!$A264)</f>
        <v>725</v>
      </c>
      <c r="H264" s="14">
        <f t="shared" si="8"/>
        <v>87671.7</v>
      </c>
      <c r="I264">
        <f t="shared" si="9"/>
        <v>21</v>
      </c>
    </row>
    <row r="265" spans="1:9" ht="14.25" customHeight="1" x14ac:dyDescent="0.3">
      <c r="A265" s="8">
        <v>43979</v>
      </c>
      <c r="B265" s="9" t="s">
        <v>18</v>
      </c>
      <c r="C265" s="9">
        <v>16500</v>
      </c>
      <c r="D265" s="9">
        <v>1487928</v>
      </c>
      <c r="E265" s="7">
        <f>SUMIFS(Лист2!C:C,Лист2!B:B,Лист1!B265,Лист2!A:A,Лист1!A265)</f>
        <v>17</v>
      </c>
      <c r="F265" s="7">
        <f>SUMIFS(Лист2!$D:$D,Лист2!$B:$B,Лист1!$B265,Лист2!$A:$A,Лист1!$A265)</f>
        <v>1097</v>
      </c>
      <c r="G265" s="7">
        <f>SUMIFS(Лист2!$E:$E,Лист2!$B:$B,Лист1!$B265,Лист2!$A:$A,Лист1!$A265)</f>
        <v>968</v>
      </c>
      <c r="H265" s="14">
        <f t="shared" si="8"/>
        <v>87525.176470588238</v>
      </c>
      <c r="I265">
        <f t="shared" si="9"/>
        <v>22</v>
      </c>
    </row>
    <row r="266" spans="1:9" ht="14.25" customHeight="1" x14ac:dyDescent="0.3">
      <c r="A266" s="5">
        <v>43976</v>
      </c>
      <c r="B266" s="6" t="s">
        <v>19</v>
      </c>
      <c r="C266" s="6">
        <v>13260</v>
      </c>
      <c r="D266" s="6">
        <v>1230687</v>
      </c>
      <c r="E266" s="7">
        <f>SUMIFS(Лист2!C:C,Лист2!B:B,Лист1!B266,Лист2!A:A,Лист1!A266)</f>
        <v>15</v>
      </c>
      <c r="F266" s="7">
        <f>SUMIFS(Лист2!$D:$D,Лист2!$B:$B,Лист1!$B266,Лист2!$A:$A,Лист1!$A266)</f>
        <v>835</v>
      </c>
      <c r="G266" s="7">
        <f>SUMIFS(Лист2!$E:$E,Лист2!$B:$B,Лист1!$B266,Лист2!$A:$A,Лист1!$A266)</f>
        <v>736</v>
      </c>
      <c r="H266" s="14">
        <f t="shared" si="8"/>
        <v>82045.8</v>
      </c>
      <c r="I266">
        <f t="shared" si="9"/>
        <v>22</v>
      </c>
    </row>
    <row r="267" spans="1:9" ht="14.25" customHeight="1" x14ac:dyDescent="0.3">
      <c r="A267" s="8">
        <v>43951</v>
      </c>
      <c r="B267" s="9" t="s">
        <v>19</v>
      </c>
      <c r="C267" s="9">
        <v>4285.5</v>
      </c>
      <c r="D267" s="9">
        <v>404691</v>
      </c>
      <c r="E267" s="7">
        <f>SUMIFS(Лист2!C:C,Лист2!B:B,Лист1!B267,Лист2!A:A,Лист1!A267)</f>
        <v>15</v>
      </c>
      <c r="F267" s="7">
        <f>SUMIFS(Лист2!$D:$D,Лист2!$B:$B,Лист1!$B267,Лист2!$A:$A,Лист1!$A267)</f>
        <v>262</v>
      </c>
      <c r="G267" s="7">
        <f>SUMIFS(Лист2!$E:$E,Лист2!$B:$B,Лист1!$B267,Лист2!$A:$A,Лист1!$A267)</f>
        <v>195</v>
      </c>
      <c r="H267" s="14">
        <f t="shared" si="8"/>
        <v>26979.4</v>
      </c>
      <c r="I267">
        <f t="shared" si="9"/>
        <v>18</v>
      </c>
    </row>
    <row r="268" spans="1:9" ht="14.25" customHeight="1" x14ac:dyDescent="0.3">
      <c r="A268" s="5">
        <v>43961</v>
      </c>
      <c r="B268" s="6" t="s">
        <v>19</v>
      </c>
      <c r="C268" s="6">
        <v>13440</v>
      </c>
      <c r="D268" s="6">
        <v>1198285.5</v>
      </c>
      <c r="E268" s="7">
        <f>SUMIFS(Лист2!C:C,Лист2!B:B,Лист1!B268,Лист2!A:A,Лист1!A268)</f>
        <v>15</v>
      </c>
      <c r="F268" s="7">
        <f>SUMIFS(Лист2!$D:$D,Лист2!$B:$B,Лист1!$B268,Лист2!$A:$A,Лист1!$A268)</f>
        <v>706</v>
      </c>
      <c r="G268" s="7">
        <f>SUMIFS(Лист2!$E:$E,Лист2!$B:$B,Лист1!$B268,Лист2!$A:$A,Лист1!$A268)</f>
        <v>608</v>
      </c>
      <c r="H268" s="14">
        <f t="shared" si="8"/>
        <v>79885.7</v>
      </c>
      <c r="I268">
        <f t="shared" si="9"/>
        <v>19</v>
      </c>
    </row>
    <row r="269" spans="1:9" ht="14.25" customHeight="1" x14ac:dyDescent="0.3">
      <c r="A269" s="8">
        <v>43959</v>
      </c>
      <c r="B269" s="9" t="s">
        <v>19</v>
      </c>
      <c r="C269" s="9">
        <v>9058.5</v>
      </c>
      <c r="D269" s="9">
        <v>798759</v>
      </c>
      <c r="E269" s="7">
        <f>SUMIFS(Лист2!C:C,Лист2!B:B,Лист1!B269,Лист2!A:A,Лист1!A269)</f>
        <v>15</v>
      </c>
      <c r="F269" s="7">
        <f>SUMIFS(Лист2!$D:$D,Лист2!$B:$B,Лист1!$B269,Лист2!$A:$A,Лист1!$A269)</f>
        <v>492</v>
      </c>
      <c r="G269" s="7">
        <f>SUMIFS(Лист2!$E:$E,Лист2!$B:$B,Лист1!$B269,Лист2!$A:$A,Лист1!$A269)</f>
        <v>412</v>
      </c>
      <c r="H269" s="14">
        <f t="shared" si="8"/>
        <v>53250.6</v>
      </c>
      <c r="I269">
        <f t="shared" si="9"/>
        <v>19</v>
      </c>
    </row>
    <row r="270" spans="1:9" ht="14.25" customHeight="1" x14ac:dyDescent="0.3">
      <c r="A270" s="5">
        <v>43958</v>
      </c>
      <c r="B270" s="6" t="s">
        <v>19</v>
      </c>
      <c r="C270" s="6">
        <v>8719.5</v>
      </c>
      <c r="D270" s="6">
        <v>769276.5</v>
      </c>
      <c r="E270" s="7">
        <f>SUMIFS(Лист2!C:C,Лист2!B:B,Лист1!B270,Лист2!A:A,Лист1!A270)</f>
        <v>15</v>
      </c>
      <c r="F270" s="7">
        <f>SUMIFS(Лист2!$D:$D,Лист2!$B:$B,Лист1!$B270,Лист2!$A:$A,Лист1!$A270)</f>
        <v>480</v>
      </c>
      <c r="G270" s="7">
        <f>SUMIFS(Лист2!$E:$E,Лист2!$B:$B,Лист1!$B270,Лист2!$A:$A,Лист1!$A270)</f>
        <v>398</v>
      </c>
      <c r="H270" s="14">
        <f t="shared" si="8"/>
        <v>51285.1</v>
      </c>
      <c r="I270">
        <f t="shared" si="9"/>
        <v>19</v>
      </c>
    </row>
    <row r="271" spans="1:9" ht="14.25" customHeight="1" x14ac:dyDescent="0.3">
      <c r="A271" s="8">
        <v>43975</v>
      </c>
      <c r="B271" s="9" t="s">
        <v>19</v>
      </c>
      <c r="C271" s="9">
        <v>12666</v>
      </c>
      <c r="D271" s="9">
        <v>1184865</v>
      </c>
      <c r="E271" s="7">
        <f>SUMIFS(Лист2!C:C,Лист2!B:B,Лист1!B271,Лист2!A:A,Лист1!A271)</f>
        <v>15</v>
      </c>
      <c r="F271" s="7">
        <f>SUMIFS(Лист2!$D:$D,Лист2!$B:$B,Лист1!$B271,Лист2!$A:$A,Лист1!$A271)</f>
        <v>779</v>
      </c>
      <c r="G271" s="7">
        <f>SUMIFS(Лист2!$E:$E,Лист2!$B:$B,Лист1!$B271,Лист2!$A:$A,Лист1!$A271)</f>
        <v>673</v>
      </c>
      <c r="H271" s="14">
        <f t="shared" si="8"/>
        <v>78991</v>
      </c>
      <c r="I271">
        <f t="shared" si="9"/>
        <v>21</v>
      </c>
    </row>
    <row r="272" spans="1:9" ht="14.25" customHeight="1" x14ac:dyDescent="0.3">
      <c r="A272" s="5">
        <v>43967</v>
      </c>
      <c r="B272" s="6" t="s">
        <v>20</v>
      </c>
      <c r="C272" s="6">
        <v>34563</v>
      </c>
      <c r="D272" s="6">
        <v>2922883.5</v>
      </c>
      <c r="E272" s="7">
        <f>SUMIFS(Лист2!C:C,Лист2!B:B,Лист1!B272,Лист2!A:A,Лист1!A272)</f>
        <v>19</v>
      </c>
      <c r="F272" s="7">
        <f>SUMIFS(Лист2!$D:$D,Лист2!$B:$B,Лист1!$B272,Лист2!$A:$A,Лист1!$A272)</f>
        <v>2039</v>
      </c>
      <c r="G272" s="7">
        <f>SUMIFS(Лист2!$E:$E,Лист2!$B:$B,Лист1!$B272,Лист2!$A:$A,Лист1!$A272)</f>
        <v>1868</v>
      </c>
      <c r="H272" s="14">
        <f t="shared" si="8"/>
        <v>153835.97368421053</v>
      </c>
      <c r="I272">
        <f t="shared" si="9"/>
        <v>20</v>
      </c>
    </row>
    <row r="273" spans="1:9" ht="14.25" customHeight="1" x14ac:dyDescent="0.3">
      <c r="A273" s="8">
        <v>43970</v>
      </c>
      <c r="B273" s="9" t="s">
        <v>20</v>
      </c>
      <c r="C273" s="9">
        <v>28882.5</v>
      </c>
      <c r="D273" s="9">
        <v>2446530</v>
      </c>
      <c r="E273" s="7">
        <f>SUMIFS(Лист2!C:C,Лист2!B:B,Лист1!B273,Лист2!A:A,Лист1!A273)</f>
        <v>19</v>
      </c>
      <c r="F273" s="7">
        <f>SUMIFS(Лист2!$D:$D,Лист2!$B:$B,Лист1!$B273,Лист2!$A:$A,Лист1!$A273)</f>
        <v>1831</v>
      </c>
      <c r="G273" s="7">
        <f>SUMIFS(Лист2!$E:$E,Лист2!$B:$B,Лист1!$B273,Лист2!$A:$A,Лист1!$A273)</f>
        <v>1667</v>
      </c>
      <c r="H273" s="14">
        <f t="shared" si="8"/>
        <v>128764.73684210527</v>
      </c>
      <c r="I273">
        <f t="shared" si="9"/>
        <v>21</v>
      </c>
    </row>
    <row r="274" spans="1:9" ht="14.25" customHeight="1" x14ac:dyDescent="0.3">
      <c r="A274" s="5">
        <v>43968</v>
      </c>
      <c r="B274" s="6" t="s">
        <v>20</v>
      </c>
      <c r="C274" s="6">
        <v>28275</v>
      </c>
      <c r="D274" s="6">
        <v>2435632.5</v>
      </c>
      <c r="E274" s="7">
        <f>SUMIFS(Лист2!C:C,Лист2!B:B,Лист1!B274,Лист2!A:A,Лист1!A274)</f>
        <v>19</v>
      </c>
      <c r="F274" s="7">
        <f>SUMIFS(Лист2!$D:$D,Лист2!$B:$B,Лист1!$B274,Лист2!$A:$A,Лист1!$A274)</f>
        <v>1790</v>
      </c>
      <c r="G274" s="7">
        <f>SUMIFS(Лист2!$E:$E,Лист2!$B:$B,Лист1!$B274,Лист2!$A:$A,Лист1!$A274)</f>
        <v>1633</v>
      </c>
      <c r="H274" s="14">
        <f t="shared" si="8"/>
        <v>128191.18421052632</v>
      </c>
      <c r="I274">
        <f t="shared" si="9"/>
        <v>20</v>
      </c>
    </row>
    <row r="275" spans="1:9" ht="14.25" customHeight="1" x14ac:dyDescent="0.3">
      <c r="A275" s="8">
        <v>43960</v>
      </c>
      <c r="B275" s="9" t="s">
        <v>20</v>
      </c>
      <c r="C275" s="9">
        <v>26271</v>
      </c>
      <c r="D275" s="9">
        <v>2384937</v>
      </c>
      <c r="E275" s="7">
        <f>SUMIFS(Лист2!C:C,Лист2!B:B,Лист1!B275,Лист2!A:A,Лист1!A275)</f>
        <v>19</v>
      </c>
      <c r="F275" s="7">
        <f>SUMIFS(Лист2!$D:$D,Лист2!$B:$B,Лист1!$B275,Лист2!$A:$A,Лист1!$A275)</f>
        <v>1542</v>
      </c>
      <c r="G275" s="7">
        <f>SUMIFS(Лист2!$E:$E,Лист2!$B:$B,Лист1!$B275,Лист2!$A:$A,Лист1!$A275)</f>
        <v>1412</v>
      </c>
      <c r="H275" s="14">
        <f t="shared" si="8"/>
        <v>125523</v>
      </c>
      <c r="I275">
        <f t="shared" si="9"/>
        <v>19</v>
      </c>
    </row>
    <row r="276" spans="1:9" ht="14.25" customHeight="1" x14ac:dyDescent="0.3">
      <c r="A276" s="5">
        <v>43955</v>
      </c>
      <c r="B276" s="6" t="s">
        <v>20</v>
      </c>
      <c r="C276" s="6">
        <v>23587.5</v>
      </c>
      <c r="D276" s="6">
        <v>2155668</v>
      </c>
      <c r="E276" s="7">
        <f>SUMIFS(Лист2!C:C,Лист2!B:B,Лист1!B276,Лист2!A:A,Лист1!A276)</f>
        <v>19</v>
      </c>
      <c r="F276" s="7">
        <f>SUMIFS(Лист2!$D:$D,Лист2!$B:$B,Лист1!$B276,Лист2!$A:$A,Лист1!$A276)</f>
        <v>1479</v>
      </c>
      <c r="G276" s="7">
        <f>SUMIFS(Лист2!$E:$E,Лист2!$B:$B,Лист1!$B276,Лист2!$A:$A,Лист1!$A276)</f>
        <v>1346</v>
      </c>
      <c r="H276" s="14">
        <f t="shared" si="8"/>
        <v>113456.21052631579</v>
      </c>
      <c r="I276">
        <f t="shared" si="9"/>
        <v>19</v>
      </c>
    </row>
    <row r="277" spans="1:9" ht="14.25" customHeight="1" x14ac:dyDescent="0.3">
      <c r="A277" s="8">
        <v>43953</v>
      </c>
      <c r="B277" s="9" t="s">
        <v>20</v>
      </c>
      <c r="C277" s="9">
        <v>18427.5</v>
      </c>
      <c r="D277" s="9">
        <v>1682851.5</v>
      </c>
      <c r="E277" s="7">
        <f>SUMIFS(Лист2!C:C,Лист2!B:B,Лист1!B277,Лист2!A:A,Лист1!A277)</f>
        <v>19</v>
      </c>
      <c r="F277" s="7">
        <f>SUMIFS(Лист2!$D:$D,Лист2!$B:$B,Лист1!$B277,Лист2!$A:$A,Лист1!$A277)</f>
        <v>1206</v>
      </c>
      <c r="G277" s="7">
        <f>SUMIFS(Лист2!$E:$E,Лист2!$B:$B,Лист1!$B277,Лист2!$A:$A,Лист1!$A277)</f>
        <v>1080</v>
      </c>
      <c r="H277" s="14">
        <f t="shared" si="8"/>
        <v>88571.131578947374</v>
      </c>
      <c r="I277">
        <f t="shared" si="9"/>
        <v>18</v>
      </c>
    </row>
    <row r="278" spans="1:9" ht="14.25" customHeight="1" x14ac:dyDescent="0.3">
      <c r="A278" s="5">
        <v>43977</v>
      </c>
      <c r="B278" s="6" t="s">
        <v>20</v>
      </c>
      <c r="C278" s="6">
        <v>27156</v>
      </c>
      <c r="D278" s="6">
        <v>2410803</v>
      </c>
      <c r="E278" s="7">
        <f>SUMIFS(Лист2!C:C,Лист2!B:B,Лист1!B278,Лист2!A:A,Лист1!A278)</f>
        <v>20</v>
      </c>
      <c r="F278" s="7">
        <f>SUMIFS(Лист2!$D:$D,Лист2!$B:$B,Лист1!$B278,Лист2!$A:$A,Лист1!$A278)</f>
        <v>1814</v>
      </c>
      <c r="G278" s="7">
        <f>SUMIFS(Лист2!$E:$E,Лист2!$B:$B,Лист1!$B278,Лист2!$A:$A,Лист1!$A278)</f>
        <v>1655</v>
      </c>
      <c r="H278" s="14">
        <f t="shared" si="8"/>
        <v>120540.15</v>
      </c>
      <c r="I278">
        <f t="shared" si="9"/>
        <v>22</v>
      </c>
    </row>
    <row r="279" spans="1:9" ht="14.25" customHeight="1" x14ac:dyDescent="0.3">
      <c r="A279" s="8">
        <v>43952</v>
      </c>
      <c r="B279" s="9" t="s">
        <v>20</v>
      </c>
      <c r="C279" s="9">
        <v>35190</v>
      </c>
      <c r="D279" s="9">
        <v>3168510</v>
      </c>
      <c r="E279" s="7">
        <f>SUMIFS(Лист2!C:C,Лист2!B:B,Лист1!B279,Лист2!A:A,Лист1!A279)</f>
        <v>19</v>
      </c>
      <c r="F279" s="7">
        <f>SUMIFS(Лист2!$D:$D,Лист2!$B:$B,Лист1!$B279,Лист2!$A:$A,Лист1!$A279)</f>
        <v>1987</v>
      </c>
      <c r="G279" s="7">
        <f>SUMIFS(Лист2!$E:$E,Лист2!$B:$B,Лист1!$B279,Лист2!$A:$A,Лист1!$A279)</f>
        <v>1791</v>
      </c>
      <c r="H279" s="14">
        <f t="shared" si="8"/>
        <v>166763.68421052632</v>
      </c>
      <c r="I279">
        <f t="shared" si="9"/>
        <v>18</v>
      </c>
    </row>
    <row r="280" spans="1:9" ht="14.25" customHeight="1" x14ac:dyDescent="0.3">
      <c r="A280" s="5">
        <v>43963</v>
      </c>
      <c r="B280" s="6" t="s">
        <v>20</v>
      </c>
      <c r="C280" s="6">
        <v>25483.5</v>
      </c>
      <c r="D280" s="6">
        <v>2243160</v>
      </c>
      <c r="E280" s="7">
        <f>SUMIFS(Лист2!C:C,Лист2!B:B,Лист1!B280,Лист2!A:A,Лист1!A280)</f>
        <v>19</v>
      </c>
      <c r="F280" s="7">
        <f>SUMIFS(Лист2!$D:$D,Лист2!$B:$B,Лист1!$B280,Лист2!$A:$A,Лист1!$A280)</f>
        <v>1598</v>
      </c>
      <c r="G280" s="7">
        <f>SUMIFS(Лист2!$E:$E,Лист2!$B:$B,Лист1!$B280,Лист2!$A:$A,Лист1!$A280)</f>
        <v>1454</v>
      </c>
      <c r="H280" s="14">
        <f t="shared" si="8"/>
        <v>118061.05263157895</v>
      </c>
      <c r="I280">
        <f t="shared" si="9"/>
        <v>20</v>
      </c>
    </row>
    <row r="281" spans="1:9" ht="14.25" customHeight="1" x14ac:dyDescent="0.3">
      <c r="A281" s="8">
        <v>43972</v>
      </c>
      <c r="B281" s="9" t="s">
        <v>20</v>
      </c>
      <c r="C281" s="9">
        <v>25362</v>
      </c>
      <c r="D281" s="9">
        <v>2198935.5</v>
      </c>
      <c r="E281" s="7">
        <f>SUMIFS(Лист2!C:C,Лист2!B:B,Лист1!B281,Лист2!A:A,Лист1!A281)</f>
        <v>19</v>
      </c>
      <c r="F281" s="7">
        <f>SUMIFS(Лист2!$D:$D,Лист2!$B:$B,Лист1!$B281,Лист2!$A:$A,Лист1!$A281)</f>
        <v>1650</v>
      </c>
      <c r="G281" s="7">
        <f>SUMIFS(Лист2!$E:$E,Лист2!$B:$B,Лист1!$B281,Лист2!$A:$A,Лист1!$A281)</f>
        <v>1505</v>
      </c>
      <c r="H281" s="14">
        <f t="shared" si="8"/>
        <v>115733.44736842105</v>
      </c>
      <c r="I281">
        <f t="shared" si="9"/>
        <v>21</v>
      </c>
    </row>
    <row r="282" spans="1:9" ht="14.25" customHeight="1" x14ac:dyDescent="0.3">
      <c r="A282" s="5">
        <v>43971</v>
      </c>
      <c r="B282" s="6" t="s">
        <v>20</v>
      </c>
      <c r="C282" s="6">
        <v>28849.5</v>
      </c>
      <c r="D282" s="6">
        <v>2520759</v>
      </c>
      <c r="E282" s="7">
        <f>SUMIFS(Лист2!C:C,Лист2!B:B,Лист1!B282,Лист2!A:A,Лист1!A282)</f>
        <v>19</v>
      </c>
      <c r="F282" s="7">
        <f>SUMIFS(Лист2!$D:$D,Лист2!$B:$B,Лист1!$B282,Лист2!$A:$A,Лист1!$A282)</f>
        <v>1823</v>
      </c>
      <c r="G282" s="7">
        <f>SUMIFS(Лист2!$E:$E,Лист2!$B:$B,Лист1!$B282,Лист2!$A:$A,Лист1!$A282)</f>
        <v>1678</v>
      </c>
      <c r="H282" s="14">
        <f t="shared" si="8"/>
        <v>132671.52631578947</v>
      </c>
      <c r="I282">
        <f t="shared" si="9"/>
        <v>21</v>
      </c>
    </row>
    <row r="283" spans="1:9" ht="14.25" customHeight="1" x14ac:dyDescent="0.3">
      <c r="A283" s="8">
        <v>43956</v>
      </c>
      <c r="B283" s="9" t="s">
        <v>20</v>
      </c>
      <c r="C283" s="9">
        <v>26367</v>
      </c>
      <c r="D283" s="9">
        <v>2380333.5</v>
      </c>
      <c r="E283" s="7">
        <f>SUMIFS(Лист2!C:C,Лист2!B:B,Лист1!B283,Лист2!A:A,Лист1!A283)</f>
        <v>19</v>
      </c>
      <c r="F283" s="7">
        <f>SUMIFS(Лист2!$D:$D,Лист2!$B:$B,Лист1!$B283,Лист2!$A:$A,Лист1!$A283)</f>
        <v>1622</v>
      </c>
      <c r="G283" s="7">
        <f>SUMIFS(Лист2!$E:$E,Лист2!$B:$B,Лист1!$B283,Лист2!$A:$A,Лист1!$A283)</f>
        <v>1482</v>
      </c>
      <c r="H283" s="14">
        <f t="shared" si="8"/>
        <v>125280.71052631579</v>
      </c>
      <c r="I283">
        <f t="shared" si="9"/>
        <v>19</v>
      </c>
    </row>
    <row r="284" spans="1:9" ht="14.25" customHeight="1" x14ac:dyDescent="0.3">
      <c r="A284" s="5">
        <v>43964</v>
      </c>
      <c r="B284" s="6" t="s">
        <v>20</v>
      </c>
      <c r="C284" s="6">
        <v>25539</v>
      </c>
      <c r="D284" s="6">
        <v>2263651.5</v>
      </c>
      <c r="E284" s="7">
        <f>SUMIFS(Лист2!C:C,Лист2!B:B,Лист1!B284,Лист2!A:A,Лист1!A284)</f>
        <v>19</v>
      </c>
      <c r="F284" s="7">
        <f>SUMIFS(Лист2!$D:$D,Лист2!$B:$B,Лист1!$B284,Лист2!$A:$A,Лист1!$A284)</f>
        <v>1605</v>
      </c>
      <c r="G284" s="7">
        <f>SUMIFS(Лист2!$E:$E,Лист2!$B:$B,Лист1!$B284,Лист2!$A:$A,Лист1!$A284)</f>
        <v>1447</v>
      </c>
      <c r="H284" s="14">
        <f t="shared" si="8"/>
        <v>119139.55263157895</v>
      </c>
      <c r="I284">
        <f t="shared" si="9"/>
        <v>20</v>
      </c>
    </row>
    <row r="285" spans="1:9" ht="14.25" customHeight="1" x14ac:dyDescent="0.3">
      <c r="A285" s="8">
        <v>43982</v>
      </c>
      <c r="B285" s="9" t="s">
        <v>19</v>
      </c>
      <c r="C285" s="9">
        <v>14808</v>
      </c>
      <c r="D285" s="9">
        <v>1336789.5</v>
      </c>
      <c r="E285" s="7">
        <f>SUMIFS(Лист2!C:C,Лист2!B:B,Лист1!B285,Лист2!A:A,Лист1!A285)</f>
        <v>16</v>
      </c>
      <c r="F285" s="7">
        <f>SUMIFS(Лист2!$D:$D,Лист2!$B:$B,Лист1!$B285,Лист2!$A:$A,Лист1!$A285)</f>
        <v>917</v>
      </c>
      <c r="G285" s="7">
        <f>SUMIFS(Лист2!$E:$E,Лист2!$B:$B,Лист1!$B285,Лист2!$A:$A,Лист1!$A285)</f>
        <v>802</v>
      </c>
      <c r="H285" s="14">
        <f t="shared" si="8"/>
        <v>83549.34375</v>
      </c>
      <c r="I285">
        <f t="shared" si="9"/>
        <v>22</v>
      </c>
    </row>
    <row r="286" spans="1:9" ht="14.25" customHeight="1" x14ac:dyDescent="0.3">
      <c r="A286" s="5">
        <v>43954</v>
      </c>
      <c r="B286" s="6" t="s">
        <v>20</v>
      </c>
      <c r="C286" s="6">
        <v>21343.5</v>
      </c>
      <c r="D286" s="6">
        <v>1906557</v>
      </c>
      <c r="E286" s="7">
        <f>SUMIFS(Лист2!C:C,Лист2!B:B,Лист1!B286,Лист2!A:A,Лист1!A286)</f>
        <v>19</v>
      </c>
      <c r="F286" s="7">
        <f>SUMIFS(Лист2!$D:$D,Лист2!$B:$B,Лист1!$B286,Лист2!$A:$A,Лист1!$A286)</f>
        <v>1314</v>
      </c>
      <c r="G286" s="7">
        <f>SUMIFS(Лист2!$E:$E,Лист2!$B:$B,Лист1!$B286,Лист2!$A:$A,Лист1!$A286)</f>
        <v>1192</v>
      </c>
      <c r="H286" s="14">
        <f t="shared" si="8"/>
        <v>100345.10526315789</v>
      </c>
      <c r="I286">
        <f t="shared" si="9"/>
        <v>18</v>
      </c>
    </row>
    <row r="287" spans="1:9" ht="14.25" customHeight="1" x14ac:dyDescent="0.3">
      <c r="A287" s="8">
        <v>43981</v>
      </c>
      <c r="B287" s="9" t="s">
        <v>19</v>
      </c>
      <c r="C287" s="9">
        <v>17946</v>
      </c>
      <c r="D287" s="9">
        <v>1609090.5</v>
      </c>
      <c r="E287" s="7">
        <f>SUMIFS(Лист2!C:C,Лист2!B:B,Лист1!B287,Лист2!A:A,Лист1!A287)</f>
        <v>16</v>
      </c>
      <c r="F287" s="7">
        <f>SUMIFS(Лист2!$D:$D,Лист2!$B:$B,Лист1!$B287,Лист2!$A:$A,Лист1!$A287)</f>
        <v>1048</v>
      </c>
      <c r="G287" s="7">
        <f>SUMIFS(Лист2!$E:$E,Лист2!$B:$B,Лист1!$B287,Лист2!$A:$A,Лист1!$A287)</f>
        <v>918</v>
      </c>
      <c r="H287" s="14">
        <f t="shared" si="8"/>
        <v>100568.15625</v>
      </c>
      <c r="I287">
        <f t="shared" si="9"/>
        <v>22</v>
      </c>
    </row>
    <row r="288" spans="1:9" ht="14.25" customHeight="1" x14ac:dyDescent="0.3">
      <c r="A288" s="5">
        <v>43957</v>
      </c>
      <c r="B288" s="6" t="s">
        <v>20</v>
      </c>
      <c r="C288" s="6">
        <v>24337.5</v>
      </c>
      <c r="D288" s="6">
        <v>2159350.5</v>
      </c>
      <c r="E288" s="7">
        <f>SUMIFS(Лист2!C:C,Лист2!B:B,Лист1!B288,Лист2!A:A,Лист1!A288)</f>
        <v>19</v>
      </c>
      <c r="F288" s="7">
        <f>SUMIFS(Лист2!$D:$D,Лист2!$B:$B,Лист1!$B288,Лист2!$A:$A,Лист1!$A288)</f>
        <v>1509</v>
      </c>
      <c r="G288" s="7">
        <f>SUMIFS(Лист2!$E:$E,Лист2!$B:$B,Лист1!$B288,Лист2!$A:$A,Лист1!$A288)</f>
        <v>1374</v>
      </c>
      <c r="H288" s="14">
        <f t="shared" si="8"/>
        <v>113650.02631578948</v>
      </c>
      <c r="I288">
        <f t="shared" si="9"/>
        <v>19</v>
      </c>
    </row>
    <row r="289" spans="1:9" ht="14.25" customHeight="1" x14ac:dyDescent="0.3">
      <c r="A289" s="8">
        <v>43974</v>
      </c>
      <c r="B289" s="9" t="s">
        <v>20</v>
      </c>
      <c r="C289" s="9">
        <v>36997.5</v>
      </c>
      <c r="D289" s="9">
        <v>3089140.5</v>
      </c>
      <c r="E289" s="7">
        <f>SUMIFS(Лист2!C:C,Лист2!B:B,Лист1!B289,Лист2!A:A,Лист1!A289)</f>
        <v>19</v>
      </c>
      <c r="F289" s="7">
        <f>SUMIFS(Лист2!$D:$D,Лист2!$B:$B,Лист1!$B289,Лист2!$A:$A,Лист1!$A289)</f>
        <v>2195</v>
      </c>
      <c r="G289" s="7">
        <f>SUMIFS(Лист2!$E:$E,Лист2!$B:$B,Лист1!$B289,Лист2!$A:$A,Лист1!$A289)</f>
        <v>1999</v>
      </c>
      <c r="H289" s="14">
        <f t="shared" si="8"/>
        <v>162586.34210526315</v>
      </c>
      <c r="I289">
        <f t="shared" si="9"/>
        <v>21</v>
      </c>
    </row>
    <row r="290" spans="1:9" ht="14.25" customHeight="1" x14ac:dyDescent="0.3">
      <c r="A290" s="5">
        <v>43979</v>
      </c>
      <c r="B290" s="6" t="s">
        <v>19</v>
      </c>
      <c r="C290" s="6">
        <v>13864.5</v>
      </c>
      <c r="D290" s="6">
        <v>1239747</v>
      </c>
      <c r="E290" s="7">
        <f>SUMIFS(Лист2!C:C,Лист2!B:B,Лист1!B290,Лист2!A:A,Лист1!A290)</f>
        <v>16</v>
      </c>
      <c r="F290" s="7">
        <f>SUMIFS(Лист2!$D:$D,Лист2!$B:$B,Лист1!$B290,Лист2!$A:$A,Лист1!$A290)</f>
        <v>876</v>
      </c>
      <c r="G290" s="7">
        <f>SUMIFS(Лист2!$E:$E,Лист2!$B:$B,Лист1!$B290,Лист2!$A:$A,Лист1!$A290)</f>
        <v>762</v>
      </c>
      <c r="H290" s="14">
        <f t="shared" si="8"/>
        <v>77484.1875</v>
      </c>
      <c r="I290">
        <f t="shared" si="9"/>
        <v>22</v>
      </c>
    </row>
    <row r="291" spans="1:9" ht="14.25" customHeight="1" x14ac:dyDescent="0.3">
      <c r="A291" s="8">
        <v>43976</v>
      </c>
      <c r="B291" s="9" t="s">
        <v>20</v>
      </c>
      <c r="C291" s="9">
        <v>28494</v>
      </c>
      <c r="D291" s="9">
        <v>2512803</v>
      </c>
      <c r="E291" s="7">
        <f>SUMIFS(Лист2!C:C,Лист2!B:B,Лист1!B291,Лист2!A:A,Лист1!A291)</f>
        <v>20</v>
      </c>
      <c r="F291" s="7">
        <f>SUMIFS(Лист2!$D:$D,Лист2!$B:$B,Лист1!$B291,Лист2!$A:$A,Лист1!$A291)</f>
        <v>1899</v>
      </c>
      <c r="G291" s="7">
        <f>SUMIFS(Лист2!$E:$E,Лист2!$B:$B,Лист1!$B291,Лист2!$A:$A,Лист1!$A291)</f>
        <v>1738</v>
      </c>
      <c r="H291" s="14">
        <f t="shared" si="8"/>
        <v>125640.15</v>
      </c>
      <c r="I291">
        <f t="shared" si="9"/>
        <v>22</v>
      </c>
    </row>
    <row r="292" spans="1:9" ht="14.25" customHeight="1" x14ac:dyDescent="0.3">
      <c r="A292" s="5">
        <v>43951</v>
      </c>
      <c r="B292" s="6" t="s">
        <v>20</v>
      </c>
      <c r="C292" s="6">
        <v>27883.5</v>
      </c>
      <c r="D292" s="6">
        <v>2560080</v>
      </c>
      <c r="E292" s="7">
        <f>SUMIFS(Лист2!C:C,Лист2!B:B,Лист1!B292,Лист2!A:A,Лист1!A292)</f>
        <v>19</v>
      </c>
      <c r="F292" s="7">
        <f>SUMIFS(Лист2!$D:$D,Лист2!$B:$B,Лист1!$B292,Лист2!$A:$A,Лист1!$A292)</f>
        <v>1662</v>
      </c>
      <c r="G292" s="7">
        <f>SUMIFS(Лист2!$E:$E,Лист2!$B:$B,Лист1!$B292,Лист2!$A:$A,Лист1!$A292)</f>
        <v>1506</v>
      </c>
      <c r="H292" s="14">
        <f t="shared" si="8"/>
        <v>134741.05263157896</v>
      </c>
      <c r="I292">
        <f t="shared" si="9"/>
        <v>18</v>
      </c>
    </row>
    <row r="293" spans="1:9" ht="14.25" customHeight="1" x14ac:dyDescent="0.3">
      <c r="A293" s="8">
        <v>43961</v>
      </c>
      <c r="B293" s="9" t="s">
        <v>20</v>
      </c>
      <c r="C293" s="9">
        <v>31224</v>
      </c>
      <c r="D293" s="9">
        <v>2767270.5</v>
      </c>
      <c r="E293" s="7">
        <f>SUMIFS(Лист2!C:C,Лист2!B:B,Лист1!B293,Лист2!A:A,Лист1!A293)</f>
        <v>19</v>
      </c>
      <c r="F293" s="7">
        <f>SUMIFS(Лист2!$D:$D,Лист2!$B:$B,Лист1!$B293,Лист2!$A:$A,Лист1!$A293)</f>
        <v>1836</v>
      </c>
      <c r="G293" s="7">
        <f>SUMIFS(Лист2!$E:$E,Лист2!$B:$B,Лист1!$B293,Лист2!$A:$A,Лист1!$A293)</f>
        <v>1680</v>
      </c>
      <c r="H293" s="14">
        <f t="shared" si="8"/>
        <v>145645.81578947368</v>
      </c>
      <c r="I293">
        <f t="shared" si="9"/>
        <v>19</v>
      </c>
    </row>
    <row r="294" spans="1:9" ht="14.25" customHeight="1" x14ac:dyDescent="0.3">
      <c r="A294" s="5">
        <v>43959</v>
      </c>
      <c r="B294" s="6" t="s">
        <v>20</v>
      </c>
      <c r="C294" s="6">
        <v>25020</v>
      </c>
      <c r="D294" s="6">
        <v>2235960</v>
      </c>
      <c r="E294" s="7">
        <f>SUMIFS(Лист2!C:C,Лист2!B:B,Лист1!B294,Лист2!A:A,Лист1!A294)</f>
        <v>19</v>
      </c>
      <c r="F294" s="7">
        <f>SUMIFS(Лист2!$D:$D,Лист2!$B:$B,Лист1!$B294,Лист2!$A:$A,Лист1!$A294)</f>
        <v>1520</v>
      </c>
      <c r="G294" s="7">
        <f>SUMIFS(Лист2!$E:$E,Лист2!$B:$B,Лист1!$B294,Лист2!$A:$A,Лист1!$A294)</f>
        <v>1380</v>
      </c>
      <c r="H294" s="14">
        <f t="shared" si="8"/>
        <v>117682.10526315789</v>
      </c>
      <c r="I294">
        <f t="shared" si="9"/>
        <v>19</v>
      </c>
    </row>
    <row r="295" spans="1:9" ht="14.25" customHeight="1" x14ac:dyDescent="0.3">
      <c r="A295" s="8">
        <v>43958</v>
      </c>
      <c r="B295" s="9" t="s">
        <v>20</v>
      </c>
      <c r="C295" s="9">
        <v>26184</v>
      </c>
      <c r="D295" s="9">
        <v>2308336.5</v>
      </c>
      <c r="E295" s="7">
        <f>SUMIFS(Лист2!C:C,Лист2!B:B,Лист1!B295,Лист2!A:A,Лист1!A295)</f>
        <v>19</v>
      </c>
      <c r="F295" s="7">
        <f>SUMIFS(Лист2!$D:$D,Лист2!$B:$B,Лист1!$B295,Лист2!$A:$A,Лист1!$A295)</f>
        <v>1580</v>
      </c>
      <c r="G295" s="7">
        <f>SUMIFS(Лист2!$E:$E,Лист2!$B:$B,Лист1!$B295,Лист2!$A:$A,Лист1!$A295)</f>
        <v>1435</v>
      </c>
      <c r="H295" s="14">
        <f t="shared" si="8"/>
        <v>121491.39473684211</v>
      </c>
      <c r="I295">
        <f t="shared" si="9"/>
        <v>19</v>
      </c>
    </row>
    <row r="296" spans="1:9" ht="14.25" customHeight="1" x14ac:dyDescent="0.3">
      <c r="A296" s="5">
        <v>43975</v>
      </c>
      <c r="B296" s="6" t="s">
        <v>20</v>
      </c>
      <c r="C296" s="6">
        <v>29824.5</v>
      </c>
      <c r="D296" s="6">
        <v>2526909</v>
      </c>
      <c r="E296" s="7">
        <f>SUMIFS(Лист2!C:C,Лист2!B:B,Лист1!B296,Лист2!A:A,Лист1!A296)</f>
        <v>19</v>
      </c>
      <c r="F296" s="7">
        <f>SUMIFS(Лист2!$D:$D,Лист2!$B:$B,Лист1!$B296,Лист2!$A:$A,Лист1!$A296)</f>
        <v>1868</v>
      </c>
      <c r="G296" s="7">
        <f>SUMIFS(Лист2!$E:$E,Лист2!$B:$B,Лист1!$B296,Лист2!$A:$A,Лист1!$A296)</f>
        <v>1706</v>
      </c>
      <c r="H296" s="14">
        <f t="shared" si="8"/>
        <v>132995.21052631579</v>
      </c>
      <c r="I296">
        <f t="shared" si="9"/>
        <v>21</v>
      </c>
    </row>
    <row r="297" spans="1:9" ht="14.25" customHeight="1" x14ac:dyDescent="0.3">
      <c r="A297" s="8">
        <v>43950</v>
      </c>
      <c r="B297" s="9" t="s">
        <v>21</v>
      </c>
      <c r="C297" s="9">
        <v>208351.5</v>
      </c>
      <c r="D297" s="9">
        <v>21615333</v>
      </c>
      <c r="E297" s="7">
        <f>SUMIFS(Лист2!C:C,Лист2!B:B,Лист1!B297,Лист2!A:A,Лист1!A297)</f>
        <v>59</v>
      </c>
      <c r="F297" s="7">
        <f>SUMIFS(Лист2!$D:$D,Лист2!$B:$B,Лист1!$B297,Лист2!$A:$A,Лист1!$A297)</f>
        <v>13186</v>
      </c>
      <c r="G297" s="7">
        <f>SUMIFS(Лист2!$E:$E,Лист2!$B:$B,Лист1!$B297,Лист2!$A:$A,Лист1!$A297)</f>
        <v>12251</v>
      </c>
      <c r="H297" s="14">
        <f t="shared" si="8"/>
        <v>366361.57627118647</v>
      </c>
      <c r="I297">
        <f t="shared" si="9"/>
        <v>18</v>
      </c>
    </row>
    <row r="298" spans="1:9" ht="14.25" customHeight="1" x14ac:dyDescent="0.3">
      <c r="A298" s="5">
        <v>43949</v>
      </c>
      <c r="B298" s="6" t="s">
        <v>21</v>
      </c>
      <c r="C298" s="6">
        <v>204637.5</v>
      </c>
      <c r="D298" s="6">
        <v>21114898.5</v>
      </c>
      <c r="E298" s="7">
        <f>SUMIFS(Лист2!C:C,Лист2!B:B,Лист1!B298,Лист2!A:A,Лист1!A298)</f>
        <v>59</v>
      </c>
      <c r="F298" s="7">
        <f>SUMIFS(Лист2!$D:$D,Лист2!$B:$B,Лист1!$B298,Лист2!$A:$A,Лист1!$A298)</f>
        <v>12943</v>
      </c>
      <c r="G298" s="7">
        <f>SUMIFS(Лист2!$E:$E,Лист2!$B:$B,Лист1!$B298,Лист2!$A:$A,Лист1!$A298)</f>
        <v>12072</v>
      </c>
      <c r="H298" s="14">
        <f t="shared" si="8"/>
        <v>357879.63559322036</v>
      </c>
      <c r="I298">
        <f t="shared" si="9"/>
        <v>18</v>
      </c>
    </row>
    <row r="299" spans="1:9" ht="14.25" customHeight="1" x14ac:dyDescent="0.3">
      <c r="A299" s="8">
        <v>43982</v>
      </c>
      <c r="B299" s="9" t="s">
        <v>20</v>
      </c>
      <c r="C299" s="9">
        <v>31372.5</v>
      </c>
      <c r="D299" s="9">
        <v>2794324.5</v>
      </c>
      <c r="E299" s="7">
        <f>SUMIFS(Лист2!C:C,Лист2!B:B,Лист1!B299,Лист2!A:A,Лист1!A299)</f>
        <v>21</v>
      </c>
      <c r="F299" s="7">
        <f>SUMIFS(Лист2!$D:$D,Лист2!$B:$B,Лист1!$B299,Лист2!$A:$A,Лист1!$A299)</f>
        <v>2056</v>
      </c>
      <c r="G299" s="7">
        <f>SUMIFS(Лист2!$E:$E,Лист2!$B:$B,Лист1!$B299,Лист2!$A:$A,Лист1!$A299)</f>
        <v>1879</v>
      </c>
      <c r="H299" s="14">
        <f t="shared" si="8"/>
        <v>133063.07142857142</v>
      </c>
      <c r="I299">
        <f t="shared" si="9"/>
        <v>22</v>
      </c>
    </row>
    <row r="300" spans="1:9" ht="14.25" customHeight="1" x14ac:dyDescent="0.3">
      <c r="A300" s="5">
        <v>43981</v>
      </c>
      <c r="B300" s="6" t="s">
        <v>20</v>
      </c>
      <c r="C300" s="6">
        <v>34681.5</v>
      </c>
      <c r="D300" s="6">
        <v>3005334</v>
      </c>
      <c r="E300" s="7">
        <f>SUMIFS(Лист2!C:C,Лист2!B:B,Лист1!B300,Лист2!A:A,Лист1!A300)</f>
        <v>20</v>
      </c>
      <c r="F300" s="7">
        <f>SUMIFS(Лист2!$D:$D,Лист2!$B:$B,Лист1!$B300,Лист2!$A:$A,Лист1!$A300)</f>
        <v>2174</v>
      </c>
      <c r="G300" s="7">
        <f>SUMIFS(Лист2!$E:$E,Лист2!$B:$B,Лист1!$B300,Лист2!$A:$A,Лист1!$A300)</f>
        <v>1957</v>
      </c>
      <c r="H300" s="14">
        <f t="shared" si="8"/>
        <v>150266.70000000001</v>
      </c>
      <c r="I300">
        <f t="shared" si="9"/>
        <v>22</v>
      </c>
    </row>
    <row r="301" spans="1:9" ht="14.25" customHeight="1" x14ac:dyDescent="0.3">
      <c r="A301" s="8">
        <v>43979</v>
      </c>
      <c r="B301" s="9" t="s">
        <v>20</v>
      </c>
      <c r="C301" s="9">
        <v>28197</v>
      </c>
      <c r="D301" s="9">
        <v>2559211.5</v>
      </c>
      <c r="E301" s="7">
        <f>SUMIFS(Лист2!C:C,Лист2!B:B,Лист1!B301,Лист2!A:A,Лист1!A301)</f>
        <v>20</v>
      </c>
      <c r="F301" s="7">
        <f>SUMIFS(Лист2!$D:$D,Лист2!$B:$B,Лист1!$B301,Лист2!$A:$A,Лист1!$A301)</f>
        <v>1875</v>
      </c>
      <c r="G301" s="7">
        <f>SUMIFS(Лист2!$E:$E,Лист2!$B:$B,Лист1!$B301,Лист2!$A:$A,Лист1!$A301)</f>
        <v>1701</v>
      </c>
      <c r="H301" s="14">
        <f t="shared" si="8"/>
        <v>127960.575</v>
      </c>
      <c r="I301">
        <f t="shared" si="9"/>
        <v>22</v>
      </c>
    </row>
    <row r="302" spans="1:9" ht="14.25" customHeight="1" x14ac:dyDescent="0.3">
      <c r="A302" s="5">
        <v>43967</v>
      </c>
      <c r="B302" s="6" t="s">
        <v>21</v>
      </c>
      <c r="C302" s="6">
        <v>236551.5</v>
      </c>
      <c r="D302" s="6">
        <v>23689383</v>
      </c>
      <c r="E302" s="7">
        <f>SUMIFS(Лист2!C:C,Лист2!B:B,Лист1!B302,Лист2!A:A,Лист1!A302)</f>
        <v>60</v>
      </c>
      <c r="F302" s="7">
        <f>SUMIFS(Лист2!$D:$D,Лист2!$B:$B,Лист1!$B302,Лист2!$A:$A,Лист1!$A302)</f>
        <v>14049</v>
      </c>
      <c r="G302" s="7">
        <f>SUMIFS(Лист2!$E:$E,Лист2!$B:$B,Лист1!$B302,Лист2!$A:$A,Лист1!$A302)</f>
        <v>13118</v>
      </c>
      <c r="H302" s="14">
        <f t="shared" si="8"/>
        <v>394823.05</v>
      </c>
      <c r="I302">
        <f t="shared" si="9"/>
        <v>20</v>
      </c>
    </row>
    <row r="303" spans="1:9" ht="14.25" customHeight="1" x14ac:dyDescent="0.3">
      <c r="A303" s="8">
        <v>43970</v>
      </c>
      <c r="B303" s="9" t="s">
        <v>21</v>
      </c>
      <c r="C303" s="9">
        <v>223597.5</v>
      </c>
      <c r="D303" s="9">
        <v>21945858</v>
      </c>
      <c r="E303" s="7">
        <f>SUMIFS(Лист2!C:C,Лист2!B:B,Лист1!B303,Лист2!A:A,Лист1!A303)</f>
        <v>60</v>
      </c>
      <c r="F303" s="7">
        <f>SUMIFS(Лист2!$D:$D,Лист2!$B:$B,Лист1!$B303,Лист2!$A:$A,Лист1!$A303)</f>
        <v>13867</v>
      </c>
      <c r="G303" s="7">
        <f>SUMIFS(Лист2!$E:$E,Лист2!$B:$B,Лист1!$B303,Лист2!$A:$A,Лист1!$A303)</f>
        <v>12987</v>
      </c>
      <c r="H303" s="14">
        <f t="shared" si="8"/>
        <v>365764.3</v>
      </c>
      <c r="I303">
        <f t="shared" si="9"/>
        <v>21</v>
      </c>
    </row>
    <row r="304" spans="1:9" ht="14.25" customHeight="1" x14ac:dyDescent="0.3">
      <c r="A304" s="5">
        <v>43968</v>
      </c>
      <c r="B304" s="6" t="s">
        <v>21</v>
      </c>
      <c r="C304" s="6">
        <v>193363.5</v>
      </c>
      <c r="D304" s="6">
        <v>19546386</v>
      </c>
      <c r="E304" s="7">
        <f>SUMIFS(Лист2!C:C,Лист2!B:B,Лист1!B304,Лист2!A:A,Лист1!A304)</f>
        <v>60</v>
      </c>
      <c r="F304" s="7">
        <f>SUMIFS(Лист2!$D:$D,Лист2!$B:$B,Лист1!$B304,Лист2!$A:$A,Лист1!$A304)</f>
        <v>11698</v>
      </c>
      <c r="G304" s="7">
        <f>SUMIFS(Лист2!$E:$E,Лист2!$B:$B,Лист1!$B304,Лист2!$A:$A,Лист1!$A304)</f>
        <v>10989</v>
      </c>
      <c r="H304" s="14">
        <f t="shared" si="8"/>
        <v>325773.09999999998</v>
      </c>
      <c r="I304">
        <f t="shared" si="9"/>
        <v>20</v>
      </c>
    </row>
    <row r="305" spans="1:9" ht="14.25" customHeight="1" x14ac:dyDescent="0.3">
      <c r="A305" s="8">
        <v>43960</v>
      </c>
      <c r="B305" s="9" t="s">
        <v>21</v>
      </c>
      <c r="C305" s="9">
        <v>188319</v>
      </c>
      <c r="D305" s="9">
        <v>19218631.5</v>
      </c>
      <c r="E305" s="7">
        <f>SUMIFS(Лист2!C:C,Лист2!B:B,Лист1!B305,Лист2!A:A,Лист1!A305)</f>
        <v>59</v>
      </c>
      <c r="F305" s="7">
        <f>SUMIFS(Лист2!$D:$D,Лист2!$B:$B,Лист1!$B305,Лист2!$A:$A,Лист1!$A305)</f>
        <v>12016</v>
      </c>
      <c r="G305" s="7">
        <f>SUMIFS(Лист2!$E:$E,Лист2!$B:$B,Лист1!$B305,Лист2!$A:$A,Лист1!$A305)</f>
        <v>11137</v>
      </c>
      <c r="H305" s="14">
        <f t="shared" si="8"/>
        <v>325739.51694915252</v>
      </c>
      <c r="I305">
        <f t="shared" si="9"/>
        <v>19</v>
      </c>
    </row>
    <row r="306" spans="1:9" ht="14.25" customHeight="1" x14ac:dyDescent="0.3">
      <c r="A306" s="5">
        <v>43955</v>
      </c>
      <c r="B306" s="6" t="s">
        <v>21</v>
      </c>
      <c r="C306" s="6">
        <v>237544.5</v>
      </c>
      <c r="D306" s="6">
        <v>24292218</v>
      </c>
      <c r="E306" s="7">
        <f>SUMIFS(Лист2!C:C,Лист2!B:B,Лист1!B306,Лист2!A:A,Лист1!A306)</f>
        <v>59</v>
      </c>
      <c r="F306" s="7">
        <f>SUMIFS(Лист2!$D:$D,Лист2!$B:$B,Лист1!$B306,Лист2!$A:$A,Лист1!$A306)</f>
        <v>14423</v>
      </c>
      <c r="G306" s="7">
        <f>SUMIFS(Лист2!$E:$E,Лист2!$B:$B,Лист1!$B306,Лист2!$A:$A,Лист1!$A306)</f>
        <v>13432</v>
      </c>
      <c r="H306" s="14">
        <f t="shared" si="8"/>
        <v>411732.50847457629</v>
      </c>
      <c r="I306">
        <f t="shared" si="9"/>
        <v>19</v>
      </c>
    </row>
    <row r="307" spans="1:9" ht="14.25" customHeight="1" x14ac:dyDescent="0.3">
      <c r="A307" s="8">
        <v>43950</v>
      </c>
      <c r="B307" s="9" t="s">
        <v>22</v>
      </c>
      <c r="C307" s="9">
        <v>203209.5</v>
      </c>
      <c r="D307" s="9">
        <v>20871391.5</v>
      </c>
      <c r="E307" s="7">
        <f>SUMIFS(Лист2!C:C,Лист2!B:B,Лист1!B307,Лист2!A:A,Лист1!A307)</f>
        <v>54</v>
      </c>
      <c r="F307" s="7">
        <f>SUMIFS(Лист2!$D:$D,Лист2!$B:$B,Лист1!$B307,Лист2!$A:$A,Лист1!$A307)</f>
        <v>12747</v>
      </c>
      <c r="G307" s="7">
        <f>SUMIFS(Лист2!$E:$E,Лист2!$B:$B,Лист1!$B307,Лист2!$A:$A,Лист1!$A307)</f>
        <v>11884</v>
      </c>
      <c r="H307" s="14">
        <f t="shared" si="8"/>
        <v>386507.25</v>
      </c>
      <c r="I307">
        <f t="shared" si="9"/>
        <v>18</v>
      </c>
    </row>
    <row r="308" spans="1:9" ht="14.25" customHeight="1" x14ac:dyDescent="0.3">
      <c r="A308" s="5">
        <v>43953</v>
      </c>
      <c r="B308" s="6" t="s">
        <v>21</v>
      </c>
      <c r="C308" s="6">
        <v>185979</v>
      </c>
      <c r="D308" s="6">
        <v>19625364</v>
      </c>
      <c r="E308" s="7">
        <f>SUMIFS(Лист2!C:C,Лист2!B:B,Лист1!B308,Лист2!A:A,Лист1!A308)</f>
        <v>59</v>
      </c>
      <c r="F308" s="7">
        <f>SUMIFS(Лист2!$D:$D,Лист2!$B:$B,Лист1!$B308,Лист2!$A:$A,Лист1!$A308)</f>
        <v>12429</v>
      </c>
      <c r="G308" s="7">
        <f>SUMIFS(Лист2!$E:$E,Лист2!$B:$B,Лист1!$B308,Лист2!$A:$A,Лист1!$A308)</f>
        <v>11477</v>
      </c>
      <c r="H308" s="14">
        <f t="shared" si="8"/>
        <v>332633.28813559323</v>
      </c>
      <c r="I308">
        <f t="shared" si="9"/>
        <v>18</v>
      </c>
    </row>
    <row r="309" spans="1:9" ht="14.25" customHeight="1" x14ac:dyDescent="0.3">
      <c r="A309" s="8">
        <v>43977</v>
      </c>
      <c r="B309" s="9" t="s">
        <v>21</v>
      </c>
      <c r="C309" s="9">
        <v>244905</v>
      </c>
      <c r="D309" s="9">
        <v>25163431.5</v>
      </c>
      <c r="E309" s="7">
        <f>SUMIFS(Лист2!C:C,Лист2!B:B,Лист1!B309,Лист2!A:A,Лист1!A309)</f>
        <v>59</v>
      </c>
      <c r="F309" s="7">
        <f>SUMIFS(Лист2!$D:$D,Лист2!$B:$B,Лист1!$B309,Лист2!$A:$A,Лист1!$A309)</f>
        <v>15369</v>
      </c>
      <c r="G309" s="7">
        <f>SUMIFS(Лист2!$E:$E,Лист2!$B:$B,Лист1!$B309,Лист2!$A:$A,Лист1!$A309)</f>
        <v>14299</v>
      </c>
      <c r="H309" s="14">
        <f t="shared" si="8"/>
        <v>426498.83898305084</v>
      </c>
      <c r="I309">
        <f t="shared" si="9"/>
        <v>22</v>
      </c>
    </row>
    <row r="310" spans="1:9" ht="14.25" customHeight="1" x14ac:dyDescent="0.3">
      <c r="A310" s="5">
        <v>43952</v>
      </c>
      <c r="B310" s="6" t="s">
        <v>21</v>
      </c>
      <c r="C310" s="6">
        <v>239409</v>
      </c>
      <c r="D310" s="6">
        <v>25413351</v>
      </c>
      <c r="E310" s="7">
        <f>SUMIFS(Лист2!C:C,Лист2!B:B,Лист1!B310,Лист2!A:A,Лист1!A310)</f>
        <v>59</v>
      </c>
      <c r="F310" s="7">
        <f>SUMIFS(Лист2!$D:$D,Лист2!$B:$B,Лист1!$B310,Лист2!$A:$A,Лист1!$A310)</f>
        <v>15222</v>
      </c>
      <c r="G310" s="7">
        <f>SUMIFS(Лист2!$E:$E,Лист2!$B:$B,Лист1!$B310,Лист2!$A:$A,Лист1!$A310)</f>
        <v>13873</v>
      </c>
      <c r="H310" s="14">
        <f t="shared" si="8"/>
        <v>430734.76271186443</v>
      </c>
      <c r="I310">
        <f t="shared" si="9"/>
        <v>18</v>
      </c>
    </row>
    <row r="311" spans="1:9" ht="14.25" customHeight="1" x14ac:dyDescent="0.3">
      <c r="A311" s="8">
        <v>43963</v>
      </c>
      <c r="B311" s="9" t="s">
        <v>21</v>
      </c>
      <c r="C311" s="9">
        <v>192886.5</v>
      </c>
      <c r="D311" s="9">
        <v>19205179.5</v>
      </c>
      <c r="E311" s="7">
        <f>SUMIFS(Лист2!C:C,Лист2!B:B,Лист1!B311,Лист2!A:A,Лист1!A311)</f>
        <v>60</v>
      </c>
      <c r="F311" s="7">
        <f>SUMIFS(Лист2!$D:$D,Лист2!$B:$B,Лист1!$B311,Лист2!$A:$A,Лист1!$A311)</f>
        <v>12000</v>
      </c>
      <c r="G311" s="7">
        <f>SUMIFS(Лист2!$E:$E,Лист2!$B:$B,Лист1!$B311,Лист2!$A:$A,Лист1!$A311)</f>
        <v>11194</v>
      </c>
      <c r="H311" s="14">
        <f t="shared" si="8"/>
        <v>320086.32500000001</v>
      </c>
      <c r="I311">
        <f t="shared" si="9"/>
        <v>20</v>
      </c>
    </row>
    <row r="312" spans="1:9" ht="14.25" customHeight="1" x14ac:dyDescent="0.3">
      <c r="A312" s="5">
        <v>43972</v>
      </c>
      <c r="B312" s="6" t="s">
        <v>21</v>
      </c>
      <c r="C312" s="6">
        <v>224233.5</v>
      </c>
      <c r="D312" s="6">
        <v>22253295</v>
      </c>
      <c r="E312" s="7">
        <f>SUMIFS(Лист2!C:C,Лист2!B:B,Лист1!B312,Лист2!A:A,Лист1!A312)</f>
        <v>60</v>
      </c>
      <c r="F312" s="7">
        <f>SUMIFS(Лист2!$D:$D,Лист2!$B:$B,Лист1!$B312,Лист2!$A:$A,Лист1!$A312)</f>
        <v>14005</v>
      </c>
      <c r="G312" s="7">
        <f>SUMIFS(Лист2!$E:$E,Лист2!$B:$B,Лист1!$B312,Лист2!$A:$A,Лист1!$A312)</f>
        <v>13002</v>
      </c>
      <c r="H312" s="14">
        <f t="shared" si="8"/>
        <v>370888.25</v>
      </c>
      <c r="I312">
        <f t="shared" si="9"/>
        <v>21</v>
      </c>
    </row>
    <row r="313" spans="1:9" ht="14.25" customHeight="1" x14ac:dyDescent="0.3">
      <c r="A313" s="8">
        <v>43971</v>
      </c>
      <c r="B313" s="9" t="s">
        <v>21</v>
      </c>
      <c r="C313" s="9">
        <v>219622.5</v>
      </c>
      <c r="D313" s="9">
        <v>21959286</v>
      </c>
      <c r="E313" s="7">
        <f>SUMIFS(Лист2!C:C,Лист2!B:B,Лист1!B313,Лист2!A:A,Лист1!A313)</f>
        <v>60</v>
      </c>
      <c r="F313" s="7">
        <f>SUMIFS(Лист2!$D:$D,Лист2!$B:$B,Лист1!$B313,Лист2!$A:$A,Лист1!$A313)</f>
        <v>13792</v>
      </c>
      <c r="G313" s="7">
        <f>SUMIFS(Лист2!$E:$E,Лист2!$B:$B,Лист1!$B313,Лист2!$A:$A,Лист1!$A313)</f>
        <v>12834</v>
      </c>
      <c r="H313" s="14">
        <f t="shared" si="8"/>
        <v>365988.1</v>
      </c>
      <c r="I313">
        <f t="shared" si="9"/>
        <v>21</v>
      </c>
    </row>
    <row r="314" spans="1:9" ht="14.25" customHeight="1" x14ac:dyDescent="0.3">
      <c r="A314" s="5">
        <v>43956</v>
      </c>
      <c r="B314" s="6" t="s">
        <v>21</v>
      </c>
      <c r="C314" s="6">
        <v>213582</v>
      </c>
      <c r="D314" s="6">
        <v>21919435.5</v>
      </c>
      <c r="E314" s="7">
        <f>SUMIFS(Лист2!C:C,Лист2!B:B,Лист1!B314,Лист2!A:A,Лист1!A314)</f>
        <v>59</v>
      </c>
      <c r="F314" s="7">
        <f>SUMIFS(Лист2!$D:$D,Лист2!$B:$B,Лист1!$B314,Лист2!$A:$A,Лист1!$A314)</f>
        <v>13469</v>
      </c>
      <c r="G314" s="7">
        <f>SUMIFS(Лист2!$E:$E,Лист2!$B:$B,Лист1!$B314,Лист2!$A:$A,Лист1!$A314)</f>
        <v>12486</v>
      </c>
      <c r="H314" s="14">
        <f t="shared" si="8"/>
        <v>371515.85593220341</v>
      </c>
      <c r="I314">
        <f t="shared" si="9"/>
        <v>19</v>
      </c>
    </row>
    <row r="315" spans="1:9" ht="14.25" customHeight="1" x14ac:dyDescent="0.3">
      <c r="A315" s="8">
        <v>43949</v>
      </c>
      <c r="B315" s="9" t="s">
        <v>22</v>
      </c>
      <c r="C315" s="9">
        <v>195705</v>
      </c>
      <c r="D315" s="9">
        <v>20003263.5</v>
      </c>
      <c r="E315" s="7">
        <f>SUMIFS(Лист2!C:C,Лист2!B:B,Лист1!B315,Лист2!A:A,Лист1!A315)</f>
        <v>54</v>
      </c>
      <c r="F315" s="7">
        <f>SUMIFS(Лист2!$D:$D,Лист2!$B:$B,Лист1!$B315,Лист2!$A:$A,Лист1!$A315)</f>
        <v>12306</v>
      </c>
      <c r="G315" s="7">
        <f>SUMIFS(Лист2!$E:$E,Лист2!$B:$B,Лист1!$B315,Лист2!$A:$A,Лист1!$A315)</f>
        <v>11532</v>
      </c>
      <c r="H315" s="14">
        <f t="shared" si="8"/>
        <v>370430.80555555556</v>
      </c>
      <c r="I315">
        <f t="shared" si="9"/>
        <v>18</v>
      </c>
    </row>
    <row r="316" spans="1:9" ht="14.25" customHeight="1" x14ac:dyDescent="0.3">
      <c r="A316" s="5">
        <v>43964</v>
      </c>
      <c r="B316" s="6" t="s">
        <v>21</v>
      </c>
      <c r="C316" s="6">
        <v>193722</v>
      </c>
      <c r="D316" s="6">
        <v>19437273</v>
      </c>
      <c r="E316" s="7">
        <f>SUMIFS(Лист2!C:C,Лист2!B:B,Лист1!B316,Лист2!A:A,Лист1!A316)</f>
        <v>60</v>
      </c>
      <c r="F316" s="7">
        <f>SUMIFS(Лист2!$D:$D,Лист2!$B:$B,Лист1!$B316,Лист2!$A:$A,Лист1!$A316)</f>
        <v>12007</v>
      </c>
      <c r="G316" s="7">
        <f>SUMIFS(Лист2!$E:$E,Лист2!$B:$B,Лист1!$B316,Лист2!$A:$A,Лист1!$A316)</f>
        <v>11245</v>
      </c>
      <c r="H316" s="14">
        <f t="shared" si="8"/>
        <v>323954.55</v>
      </c>
      <c r="I316">
        <f t="shared" si="9"/>
        <v>20</v>
      </c>
    </row>
    <row r="317" spans="1:9" ht="14.25" customHeight="1" x14ac:dyDescent="0.3">
      <c r="A317" s="8">
        <v>43954</v>
      </c>
      <c r="B317" s="9" t="s">
        <v>21</v>
      </c>
      <c r="C317" s="9">
        <v>257215.5</v>
      </c>
      <c r="D317" s="9">
        <v>26492278.5</v>
      </c>
      <c r="E317" s="7">
        <f>SUMIFS(Лист2!C:C,Лист2!B:B,Лист1!B317,Лист2!A:A,Лист1!A317)</f>
        <v>59</v>
      </c>
      <c r="F317" s="7">
        <f>SUMIFS(Лист2!$D:$D,Лист2!$B:$B,Лист1!$B317,Лист2!$A:$A,Лист1!$A317)</f>
        <v>15277</v>
      </c>
      <c r="G317" s="7">
        <f>SUMIFS(Лист2!$E:$E,Лист2!$B:$B,Лист1!$B317,Лист2!$A:$A,Лист1!$A317)</f>
        <v>14163</v>
      </c>
      <c r="H317" s="14">
        <f t="shared" si="8"/>
        <v>449021.66949152545</v>
      </c>
      <c r="I317">
        <f t="shared" si="9"/>
        <v>18</v>
      </c>
    </row>
    <row r="318" spans="1:9" ht="14.25" customHeight="1" x14ac:dyDescent="0.3">
      <c r="A318" s="5">
        <v>43957</v>
      </c>
      <c r="B318" s="6" t="s">
        <v>21</v>
      </c>
      <c r="C318" s="6">
        <v>224779.5</v>
      </c>
      <c r="D318" s="6">
        <v>23032992</v>
      </c>
      <c r="E318" s="7">
        <f>SUMIFS(Лист2!C:C,Лист2!B:B,Лист1!B318,Лист2!A:A,Лист1!A318)</f>
        <v>59</v>
      </c>
      <c r="F318" s="7">
        <f>SUMIFS(Лист2!$D:$D,Лист2!$B:$B,Лист1!$B318,Лист2!$A:$A,Лист1!$A318)</f>
        <v>14103</v>
      </c>
      <c r="G318" s="7">
        <f>SUMIFS(Лист2!$E:$E,Лист2!$B:$B,Лист1!$B318,Лист2!$A:$A,Лист1!$A318)</f>
        <v>13118</v>
      </c>
      <c r="H318" s="14">
        <f t="shared" si="8"/>
        <v>390389.69491525425</v>
      </c>
      <c r="I318">
        <f t="shared" si="9"/>
        <v>19</v>
      </c>
    </row>
    <row r="319" spans="1:9" ht="14.25" customHeight="1" x14ac:dyDescent="0.3">
      <c r="A319" s="8">
        <v>43974</v>
      </c>
      <c r="B319" s="9" t="s">
        <v>21</v>
      </c>
      <c r="C319" s="9">
        <v>292018.5</v>
      </c>
      <c r="D319" s="9">
        <v>28590910.5</v>
      </c>
      <c r="E319" s="7">
        <f>SUMIFS(Лист2!C:C,Лист2!B:B,Лист1!B319,Лист2!A:A,Лист1!A319)</f>
        <v>60</v>
      </c>
      <c r="F319" s="7">
        <f>SUMIFS(Лист2!$D:$D,Лист2!$B:$B,Лист1!$B319,Лист2!$A:$A,Лист1!$A319)</f>
        <v>17295</v>
      </c>
      <c r="G319" s="7">
        <f>SUMIFS(Лист2!$E:$E,Лист2!$B:$B,Лист1!$B319,Лист2!$A:$A,Лист1!$A319)</f>
        <v>16010</v>
      </c>
      <c r="H319" s="14">
        <f t="shared" si="8"/>
        <v>476515.17499999999</v>
      </c>
      <c r="I319">
        <f t="shared" si="9"/>
        <v>21</v>
      </c>
    </row>
    <row r="320" spans="1:9" ht="14.25" customHeight="1" x14ac:dyDescent="0.3">
      <c r="A320" s="5">
        <v>43976</v>
      </c>
      <c r="B320" s="6" t="s">
        <v>21</v>
      </c>
      <c r="C320" s="6">
        <v>198751.5</v>
      </c>
      <c r="D320" s="6">
        <v>20582743.5</v>
      </c>
      <c r="E320" s="7">
        <f>SUMIFS(Лист2!C:C,Лист2!B:B,Лист1!B320,Лист2!A:A,Лист1!A320)</f>
        <v>59</v>
      </c>
      <c r="F320" s="7">
        <f>SUMIFS(Лист2!$D:$D,Лист2!$B:$B,Лист1!$B320,Лист2!$A:$A,Лист1!$A320)</f>
        <v>12983</v>
      </c>
      <c r="G320" s="7">
        <f>SUMIFS(Лист2!$E:$E,Лист2!$B:$B,Лист1!$B320,Лист2!$A:$A,Лист1!$A320)</f>
        <v>12056</v>
      </c>
      <c r="H320" s="14">
        <f t="shared" si="8"/>
        <v>348860.05932203389</v>
      </c>
      <c r="I320">
        <f t="shared" si="9"/>
        <v>22</v>
      </c>
    </row>
    <row r="321" spans="1:9" ht="14.25" customHeight="1" x14ac:dyDescent="0.3">
      <c r="A321" s="8">
        <v>43951</v>
      </c>
      <c r="B321" s="9" t="s">
        <v>21</v>
      </c>
      <c r="C321" s="9">
        <v>214386</v>
      </c>
      <c r="D321" s="9">
        <v>22530000</v>
      </c>
      <c r="E321" s="7">
        <f>SUMIFS(Лист2!C:C,Лист2!B:B,Лист1!B321,Лист2!A:A,Лист1!A321)</f>
        <v>59</v>
      </c>
      <c r="F321" s="7">
        <f>SUMIFS(Лист2!$D:$D,Лист2!$B:$B,Лист1!$B321,Лист2!$A:$A,Лист1!$A321)</f>
        <v>13251</v>
      </c>
      <c r="G321" s="7">
        <f>SUMIFS(Лист2!$E:$E,Лист2!$B:$B,Лист1!$B321,Лист2!$A:$A,Лист1!$A321)</f>
        <v>12255</v>
      </c>
      <c r="H321" s="14">
        <f t="shared" si="8"/>
        <v>381864.40677966102</v>
      </c>
      <c r="I321">
        <f t="shared" si="9"/>
        <v>18</v>
      </c>
    </row>
    <row r="322" spans="1:9" ht="14.25" customHeight="1" x14ac:dyDescent="0.3">
      <c r="A322" s="5">
        <v>43961</v>
      </c>
      <c r="B322" s="6" t="s">
        <v>21</v>
      </c>
      <c r="C322" s="6">
        <v>243825</v>
      </c>
      <c r="D322" s="6">
        <v>24890404.5</v>
      </c>
      <c r="E322" s="7">
        <f>SUMIFS(Лист2!C:C,Лист2!B:B,Лист1!B322,Лист2!A:A,Лист1!A322)</f>
        <v>59</v>
      </c>
      <c r="F322" s="7">
        <f>SUMIFS(Лист2!$D:$D,Лист2!$B:$B,Лист1!$B322,Лист2!$A:$A,Лист1!$A322)</f>
        <v>14569</v>
      </c>
      <c r="G322" s="7">
        <f>SUMIFS(Лист2!$E:$E,Лист2!$B:$B,Лист1!$B322,Лист2!$A:$A,Лист1!$A322)</f>
        <v>13566</v>
      </c>
      <c r="H322" s="14">
        <f t="shared" si="8"/>
        <v>421871.26271186443</v>
      </c>
      <c r="I322">
        <f t="shared" si="9"/>
        <v>19</v>
      </c>
    </row>
    <row r="323" spans="1:9" ht="14.25" customHeight="1" x14ac:dyDescent="0.3">
      <c r="A323" s="8">
        <v>43959</v>
      </c>
      <c r="B323" s="9" t="s">
        <v>21</v>
      </c>
      <c r="C323" s="9">
        <v>232701</v>
      </c>
      <c r="D323" s="9">
        <v>23881948.5</v>
      </c>
      <c r="E323" s="7">
        <f>SUMIFS(Лист2!C:C,Лист2!B:B,Лист1!B323,Лист2!A:A,Лист1!A323)</f>
        <v>59</v>
      </c>
      <c r="F323" s="7">
        <f>SUMIFS(Лист2!$D:$D,Лист2!$B:$B,Лист1!$B323,Лист2!$A:$A,Лист1!$A323)</f>
        <v>14098</v>
      </c>
      <c r="G323" s="7">
        <f>SUMIFS(Лист2!$E:$E,Лист2!$B:$B,Лист1!$B323,Лист2!$A:$A,Лист1!$A323)</f>
        <v>13106</v>
      </c>
      <c r="H323" s="14">
        <f t="shared" ref="H323:H386" si="10">D323/E323</f>
        <v>404778.78813559323</v>
      </c>
      <c r="I323">
        <f t="shared" ref="I323:I386" si="11">WEEKNUM(A323,2)</f>
        <v>19</v>
      </c>
    </row>
    <row r="324" spans="1:9" ht="14.25" customHeight="1" x14ac:dyDescent="0.3">
      <c r="A324" s="5">
        <v>43958</v>
      </c>
      <c r="B324" s="6" t="s">
        <v>21</v>
      </c>
      <c r="C324" s="6">
        <v>219411</v>
      </c>
      <c r="D324" s="6">
        <v>22460130</v>
      </c>
      <c r="E324" s="7">
        <f>SUMIFS(Лист2!C:C,Лист2!B:B,Лист1!B324,Лист2!A:A,Лист1!A324)</f>
        <v>59</v>
      </c>
      <c r="F324" s="7">
        <f>SUMIFS(Лист2!$D:$D,Лист2!$B:$B,Лист1!$B324,Лист2!$A:$A,Лист1!$A324)</f>
        <v>13495</v>
      </c>
      <c r="G324" s="7">
        <f>SUMIFS(Лист2!$E:$E,Лист2!$B:$B,Лист1!$B324,Лист2!$A:$A,Лист1!$A324)</f>
        <v>12517</v>
      </c>
      <c r="H324" s="14">
        <f t="shared" si="10"/>
        <v>380680.16949152545</v>
      </c>
      <c r="I324">
        <f t="shared" si="11"/>
        <v>19</v>
      </c>
    </row>
    <row r="325" spans="1:9" ht="14.25" customHeight="1" x14ac:dyDescent="0.3">
      <c r="A325" s="8">
        <v>43975</v>
      </c>
      <c r="B325" s="9" t="s">
        <v>21</v>
      </c>
      <c r="C325" s="9">
        <v>200029.5</v>
      </c>
      <c r="D325" s="9">
        <v>19959801</v>
      </c>
      <c r="E325" s="7">
        <f>SUMIFS(Лист2!C:C,Лист2!B:B,Лист1!B325,Лист2!A:A,Лист1!A325)</f>
        <v>60</v>
      </c>
      <c r="F325" s="7">
        <f>SUMIFS(Лист2!$D:$D,Лист2!$B:$B,Лист1!$B325,Лист2!$A:$A,Лист1!$A325)</f>
        <v>12822</v>
      </c>
      <c r="G325" s="7">
        <f>SUMIFS(Лист2!$E:$E,Лист2!$B:$B,Лист1!$B325,Лист2!$A:$A,Лист1!$A325)</f>
        <v>11916</v>
      </c>
      <c r="H325" s="14">
        <f t="shared" si="10"/>
        <v>332663.34999999998</v>
      </c>
      <c r="I325">
        <f t="shared" si="11"/>
        <v>21</v>
      </c>
    </row>
    <row r="326" spans="1:9" ht="14.25" customHeight="1" x14ac:dyDescent="0.3">
      <c r="A326" s="5">
        <v>43967</v>
      </c>
      <c r="B326" s="6" t="s">
        <v>22</v>
      </c>
      <c r="C326" s="6">
        <v>225480</v>
      </c>
      <c r="D326" s="6">
        <v>22355338.5</v>
      </c>
      <c r="E326" s="7">
        <f>SUMIFS(Лист2!C:C,Лист2!B:B,Лист1!B326,Лист2!A:A,Лист1!A326)</f>
        <v>54</v>
      </c>
      <c r="F326" s="7">
        <f>SUMIFS(Лист2!$D:$D,Лист2!$B:$B,Лист1!$B326,Лист2!$A:$A,Лист1!$A326)</f>
        <v>13170</v>
      </c>
      <c r="G326" s="7">
        <f>SUMIFS(Лист2!$E:$E,Лист2!$B:$B,Лист1!$B326,Лист2!$A:$A,Лист1!$A326)</f>
        <v>12299</v>
      </c>
      <c r="H326" s="14">
        <f t="shared" si="10"/>
        <v>413987.75</v>
      </c>
      <c r="I326">
        <f t="shared" si="11"/>
        <v>20</v>
      </c>
    </row>
    <row r="327" spans="1:9" ht="14.25" customHeight="1" x14ac:dyDescent="0.3">
      <c r="A327" s="8">
        <v>43970</v>
      </c>
      <c r="B327" s="9" t="s">
        <v>22</v>
      </c>
      <c r="C327" s="9">
        <v>211453.5</v>
      </c>
      <c r="D327" s="9">
        <v>20590072.5</v>
      </c>
      <c r="E327" s="7">
        <f>SUMIFS(Лист2!C:C,Лист2!B:B,Лист1!B327,Лист2!A:A,Лист1!A327)</f>
        <v>54</v>
      </c>
      <c r="F327" s="7">
        <f>SUMIFS(Лист2!$D:$D,Лист2!$B:$B,Лист1!$B327,Лист2!$A:$A,Лист1!$A327)</f>
        <v>13070</v>
      </c>
      <c r="G327" s="7">
        <f>SUMIFS(Лист2!$E:$E,Лист2!$B:$B,Лист1!$B327,Лист2!$A:$A,Лист1!$A327)</f>
        <v>12244</v>
      </c>
      <c r="H327" s="14">
        <f t="shared" si="10"/>
        <v>381297.63888888888</v>
      </c>
      <c r="I327">
        <f t="shared" si="11"/>
        <v>21</v>
      </c>
    </row>
    <row r="328" spans="1:9" ht="14.25" customHeight="1" x14ac:dyDescent="0.3">
      <c r="A328" s="5">
        <v>43968</v>
      </c>
      <c r="B328" s="6" t="s">
        <v>22</v>
      </c>
      <c r="C328" s="6">
        <v>184801.5</v>
      </c>
      <c r="D328" s="6">
        <v>18449091</v>
      </c>
      <c r="E328" s="7">
        <f>SUMIFS(Лист2!C:C,Лист2!B:B,Лист1!B328,Лист2!A:A,Лист1!A328)</f>
        <v>54</v>
      </c>
      <c r="F328" s="7">
        <f>SUMIFS(Лист2!$D:$D,Лист2!$B:$B,Лист1!$B328,Лист2!$A:$A,Лист1!$A328)</f>
        <v>11128</v>
      </c>
      <c r="G328" s="7">
        <f>SUMIFS(Лист2!$E:$E,Лист2!$B:$B,Лист1!$B328,Лист2!$A:$A,Лист1!$A328)</f>
        <v>10467</v>
      </c>
      <c r="H328" s="14">
        <f t="shared" si="10"/>
        <v>341649.83333333331</v>
      </c>
      <c r="I328">
        <f t="shared" si="11"/>
        <v>20</v>
      </c>
    </row>
    <row r="329" spans="1:9" ht="14.25" customHeight="1" x14ac:dyDescent="0.3">
      <c r="A329" s="8">
        <v>43960</v>
      </c>
      <c r="B329" s="9" t="s">
        <v>22</v>
      </c>
      <c r="C329" s="9">
        <v>177976.5</v>
      </c>
      <c r="D329" s="9">
        <v>18085798.5</v>
      </c>
      <c r="E329" s="7">
        <f>SUMIFS(Лист2!C:C,Лист2!B:B,Лист1!B329,Лист2!A:A,Лист1!A329)</f>
        <v>54</v>
      </c>
      <c r="F329" s="7">
        <f>SUMIFS(Лист2!$D:$D,Лист2!$B:$B,Лист1!$B329,Лист2!$A:$A,Лист1!$A329)</f>
        <v>11288</v>
      </c>
      <c r="G329" s="7">
        <f>SUMIFS(Лист2!$E:$E,Лист2!$B:$B,Лист1!$B329,Лист2!$A:$A,Лист1!$A329)</f>
        <v>10492</v>
      </c>
      <c r="H329" s="14">
        <f t="shared" si="10"/>
        <v>334922.19444444444</v>
      </c>
      <c r="I329">
        <f t="shared" si="11"/>
        <v>19</v>
      </c>
    </row>
    <row r="330" spans="1:9" ht="14.25" customHeight="1" x14ac:dyDescent="0.3">
      <c r="A330" s="5">
        <v>43955</v>
      </c>
      <c r="B330" s="6" t="s">
        <v>22</v>
      </c>
      <c r="C330" s="6">
        <v>223617</v>
      </c>
      <c r="D330" s="6">
        <v>22796827.5</v>
      </c>
      <c r="E330" s="7">
        <f>SUMIFS(Лист2!C:C,Лист2!B:B,Лист1!B330,Лист2!A:A,Лист1!A330)</f>
        <v>54</v>
      </c>
      <c r="F330" s="7">
        <f>SUMIFS(Лист2!$D:$D,Лист2!$B:$B,Лист1!$B330,Лист2!$A:$A,Лист1!$A330)</f>
        <v>13606</v>
      </c>
      <c r="G330" s="7">
        <f>SUMIFS(Лист2!$E:$E,Лист2!$B:$B,Лист1!$B330,Лист2!$A:$A,Лист1!$A330)</f>
        <v>12697</v>
      </c>
      <c r="H330" s="14">
        <f t="shared" si="10"/>
        <v>422163.47222222225</v>
      </c>
      <c r="I330">
        <f t="shared" si="11"/>
        <v>19</v>
      </c>
    </row>
    <row r="331" spans="1:9" ht="14.25" customHeight="1" x14ac:dyDescent="0.3">
      <c r="A331" s="8">
        <v>43953</v>
      </c>
      <c r="B331" s="9" t="s">
        <v>22</v>
      </c>
      <c r="C331" s="9">
        <v>176397</v>
      </c>
      <c r="D331" s="9">
        <v>18625921.5</v>
      </c>
      <c r="E331" s="7">
        <f>SUMIFS(Лист2!C:C,Лист2!B:B,Лист1!B331,Лист2!A:A,Лист1!A331)</f>
        <v>54</v>
      </c>
      <c r="F331" s="7">
        <f>SUMIFS(Лист2!$D:$D,Лист2!$B:$B,Лист1!$B331,Лист2!$A:$A,Лист1!$A331)</f>
        <v>11622</v>
      </c>
      <c r="G331" s="7">
        <f>SUMIFS(Лист2!$E:$E,Лист2!$B:$B,Лист1!$B331,Лист2!$A:$A,Лист1!$A331)</f>
        <v>10754</v>
      </c>
      <c r="H331" s="14">
        <f t="shared" si="10"/>
        <v>344924.47222222225</v>
      </c>
      <c r="I331">
        <f t="shared" si="11"/>
        <v>18</v>
      </c>
    </row>
    <row r="332" spans="1:9" ht="14.25" customHeight="1" x14ac:dyDescent="0.3">
      <c r="A332" s="5">
        <v>43977</v>
      </c>
      <c r="B332" s="6" t="s">
        <v>22</v>
      </c>
      <c r="C332" s="6">
        <v>232369.5</v>
      </c>
      <c r="D332" s="6">
        <v>23856345</v>
      </c>
      <c r="E332" s="7">
        <f>SUMIFS(Лист2!C:C,Лист2!B:B,Лист1!B332,Лист2!A:A,Лист1!A332)</f>
        <v>54</v>
      </c>
      <c r="F332" s="7">
        <f>SUMIFS(Лист2!$D:$D,Лист2!$B:$B,Лист1!$B332,Лист2!$A:$A,Лист1!$A332)</f>
        <v>14482</v>
      </c>
      <c r="G332" s="7">
        <f>SUMIFS(Лист2!$E:$E,Лист2!$B:$B,Лист1!$B332,Лист2!$A:$A,Лист1!$A332)</f>
        <v>13510</v>
      </c>
      <c r="H332" s="14">
        <f t="shared" si="10"/>
        <v>441784.16666666669</v>
      </c>
      <c r="I332">
        <f t="shared" si="11"/>
        <v>22</v>
      </c>
    </row>
    <row r="333" spans="1:9" ht="14.25" customHeight="1" x14ac:dyDescent="0.3">
      <c r="A333" s="8">
        <v>43952</v>
      </c>
      <c r="B333" s="9" t="s">
        <v>22</v>
      </c>
      <c r="C333" s="9">
        <v>226540.5</v>
      </c>
      <c r="D333" s="9">
        <v>23953536</v>
      </c>
      <c r="E333" s="7">
        <f>SUMIFS(Лист2!C:C,Лист2!B:B,Лист1!B333,Лист2!A:A,Лист1!A333)</f>
        <v>54</v>
      </c>
      <c r="F333" s="7">
        <f>SUMIFS(Лист2!$D:$D,Лист2!$B:$B,Лист1!$B333,Лист2!$A:$A,Лист1!$A333)</f>
        <v>14205</v>
      </c>
      <c r="G333" s="7">
        <f>SUMIFS(Лист2!$E:$E,Лист2!$B:$B,Лист1!$B333,Лист2!$A:$A,Лист1!$A333)</f>
        <v>13026</v>
      </c>
      <c r="H333" s="14">
        <f t="shared" si="10"/>
        <v>443584</v>
      </c>
      <c r="I333">
        <f t="shared" si="11"/>
        <v>18</v>
      </c>
    </row>
    <row r="334" spans="1:9" ht="14.25" customHeight="1" x14ac:dyDescent="0.3">
      <c r="A334" s="5">
        <v>43963</v>
      </c>
      <c r="B334" s="6" t="s">
        <v>22</v>
      </c>
      <c r="C334" s="6">
        <v>189679.5</v>
      </c>
      <c r="D334" s="6">
        <v>18718036.5</v>
      </c>
      <c r="E334" s="7">
        <f>SUMIFS(Лист2!C:C,Лист2!B:B,Лист1!B334,Лист2!A:A,Лист1!A334)</f>
        <v>54</v>
      </c>
      <c r="F334" s="7">
        <f>SUMIFS(Лист2!$D:$D,Лист2!$B:$B,Лист1!$B334,Лист2!$A:$A,Лист1!$A334)</f>
        <v>11614</v>
      </c>
      <c r="G334" s="7">
        <f>SUMIFS(Лист2!$E:$E,Лист2!$B:$B,Лист1!$B334,Лист2!$A:$A,Лист1!$A334)</f>
        <v>10862</v>
      </c>
      <c r="H334" s="14">
        <f t="shared" si="10"/>
        <v>346630.30555555556</v>
      </c>
      <c r="I334">
        <f t="shared" si="11"/>
        <v>20</v>
      </c>
    </row>
    <row r="335" spans="1:9" ht="14.25" customHeight="1" x14ac:dyDescent="0.3">
      <c r="A335" s="8">
        <v>43972</v>
      </c>
      <c r="B335" s="9" t="s">
        <v>22</v>
      </c>
      <c r="C335" s="9">
        <v>213640.5</v>
      </c>
      <c r="D335" s="9">
        <v>21042673.5</v>
      </c>
      <c r="E335" s="7">
        <f>SUMIFS(Лист2!C:C,Лист2!B:B,Лист1!B335,Лист2!A:A,Лист1!A335)</f>
        <v>54</v>
      </c>
      <c r="F335" s="7">
        <f>SUMIFS(Лист2!$D:$D,Лист2!$B:$B,Лист1!$B335,Лист2!$A:$A,Лист1!$A335)</f>
        <v>13240</v>
      </c>
      <c r="G335" s="7">
        <f>SUMIFS(Лист2!$E:$E,Лист2!$B:$B,Лист1!$B335,Лист2!$A:$A,Лист1!$A335)</f>
        <v>12360</v>
      </c>
      <c r="H335" s="14">
        <f t="shared" si="10"/>
        <v>389679.13888888888</v>
      </c>
      <c r="I335">
        <f t="shared" si="11"/>
        <v>21</v>
      </c>
    </row>
    <row r="336" spans="1:9" ht="14.25" customHeight="1" x14ac:dyDescent="0.3">
      <c r="A336" s="5">
        <v>43971</v>
      </c>
      <c r="B336" s="6" t="s">
        <v>22</v>
      </c>
      <c r="C336" s="6">
        <v>214885.5</v>
      </c>
      <c r="D336" s="6">
        <v>21411349.5</v>
      </c>
      <c r="E336" s="7">
        <f>SUMIFS(Лист2!C:C,Лист2!B:B,Лист1!B336,Лист2!A:A,Лист1!A336)</f>
        <v>54</v>
      </c>
      <c r="F336" s="7">
        <f>SUMIFS(Лист2!$D:$D,Лист2!$B:$B,Лист1!$B336,Лист2!$A:$A,Лист1!$A336)</f>
        <v>13298</v>
      </c>
      <c r="G336" s="7">
        <f>SUMIFS(Лист2!$E:$E,Лист2!$B:$B,Лист1!$B336,Лист2!$A:$A,Лист1!$A336)</f>
        <v>12428</v>
      </c>
      <c r="H336" s="14">
        <f t="shared" si="10"/>
        <v>396506.47222222225</v>
      </c>
      <c r="I336">
        <f t="shared" si="11"/>
        <v>21</v>
      </c>
    </row>
    <row r="337" spans="1:9" ht="14.25" customHeight="1" x14ac:dyDescent="0.3">
      <c r="A337" s="8">
        <v>43956</v>
      </c>
      <c r="B337" s="9" t="s">
        <v>22</v>
      </c>
      <c r="C337" s="9">
        <v>203832</v>
      </c>
      <c r="D337" s="9">
        <v>20880142.5</v>
      </c>
      <c r="E337" s="7">
        <f>SUMIFS(Лист2!C:C,Лист2!B:B,Лист1!B337,Лист2!A:A,Лист1!A337)</f>
        <v>54</v>
      </c>
      <c r="F337" s="7">
        <f>SUMIFS(Лист2!$D:$D,Лист2!$B:$B,Лист1!$B337,Лист2!$A:$A,Лист1!$A337)</f>
        <v>12775</v>
      </c>
      <c r="G337" s="7">
        <f>SUMIFS(Лист2!$E:$E,Лист2!$B:$B,Лист1!$B337,Лист2!$A:$A,Лист1!$A337)</f>
        <v>11887</v>
      </c>
      <c r="H337" s="14">
        <f t="shared" si="10"/>
        <v>386669.30555555556</v>
      </c>
      <c r="I337">
        <f t="shared" si="11"/>
        <v>19</v>
      </c>
    </row>
    <row r="338" spans="1:9" ht="14.25" customHeight="1" x14ac:dyDescent="0.3">
      <c r="A338" s="5">
        <v>43964</v>
      </c>
      <c r="B338" s="6" t="s">
        <v>22</v>
      </c>
      <c r="C338" s="6">
        <v>188662.5</v>
      </c>
      <c r="D338" s="6">
        <v>18784000.5</v>
      </c>
      <c r="E338" s="7">
        <f>SUMIFS(Лист2!C:C,Лист2!B:B,Лист1!B338,Лист2!A:A,Лист1!A338)</f>
        <v>54</v>
      </c>
      <c r="F338" s="7">
        <f>SUMIFS(Лист2!$D:$D,Лист2!$B:$B,Лист1!$B338,Лист2!$A:$A,Лист1!$A338)</f>
        <v>11522</v>
      </c>
      <c r="G338" s="7">
        <f>SUMIFS(Лист2!$E:$E,Лист2!$B:$B,Лист1!$B338,Лист2!$A:$A,Лист1!$A338)</f>
        <v>10803</v>
      </c>
      <c r="H338" s="14">
        <f t="shared" si="10"/>
        <v>347851.86111111112</v>
      </c>
      <c r="I338">
        <f t="shared" si="11"/>
        <v>20</v>
      </c>
    </row>
    <row r="339" spans="1:9" ht="14.25" customHeight="1" x14ac:dyDescent="0.3">
      <c r="A339" s="8">
        <v>43982</v>
      </c>
      <c r="B339" s="9" t="s">
        <v>21</v>
      </c>
      <c r="C339" s="9">
        <v>215277</v>
      </c>
      <c r="D339" s="9">
        <v>21585316.5</v>
      </c>
      <c r="E339" s="7">
        <f>SUMIFS(Лист2!C:C,Лист2!B:B,Лист1!B339,Лист2!A:A,Лист1!A339)</f>
        <v>59</v>
      </c>
      <c r="F339" s="7">
        <f>SUMIFS(Лист2!$D:$D,Лист2!$B:$B,Лист1!$B339,Лист2!$A:$A,Лист1!$A339)</f>
        <v>13684</v>
      </c>
      <c r="G339" s="7">
        <f>SUMIFS(Лист2!$E:$E,Лист2!$B:$B,Лист1!$B339,Лист2!$A:$A,Лист1!$A339)</f>
        <v>12690</v>
      </c>
      <c r="H339" s="14">
        <f t="shared" si="10"/>
        <v>365852.82203389832</v>
      </c>
      <c r="I339">
        <f t="shared" si="11"/>
        <v>22</v>
      </c>
    </row>
    <row r="340" spans="1:9" ht="14.25" customHeight="1" x14ac:dyDescent="0.3">
      <c r="A340" s="5">
        <v>43954</v>
      </c>
      <c r="B340" s="6" t="s">
        <v>22</v>
      </c>
      <c r="C340" s="6">
        <v>248148</v>
      </c>
      <c r="D340" s="6">
        <v>25519072.5</v>
      </c>
      <c r="E340" s="7">
        <f>SUMIFS(Лист2!C:C,Лист2!B:B,Лист1!B340,Лист2!A:A,Лист1!A340)</f>
        <v>54</v>
      </c>
      <c r="F340" s="7">
        <f>SUMIFS(Лист2!$D:$D,Лист2!$B:$B,Лист1!$B340,Лист2!$A:$A,Лист1!$A340)</f>
        <v>14823</v>
      </c>
      <c r="G340" s="7">
        <f>SUMIFS(Лист2!$E:$E,Лист2!$B:$B,Лист1!$B340,Лист2!$A:$A,Лист1!$A340)</f>
        <v>13751</v>
      </c>
      <c r="H340" s="14">
        <f t="shared" si="10"/>
        <v>472575.41666666669</v>
      </c>
      <c r="I340">
        <f t="shared" si="11"/>
        <v>18</v>
      </c>
    </row>
    <row r="341" spans="1:9" ht="14.25" customHeight="1" x14ac:dyDescent="0.3">
      <c r="A341" s="8">
        <v>43981</v>
      </c>
      <c r="B341" s="9" t="s">
        <v>21</v>
      </c>
      <c r="C341" s="9">
        <v>246414</v>
      </c>
      <c r="D341" s="9">
        <v>24527245.5</v>
      </c>
      <c r="E341" s="7">
        <f>SUMIFS(Лист2!C:C,Лист2!B:B,Лист1!B341,Лист2!A:A,Лист1!A341)</f>
        <v>59</v>
      </c>
      <c r="F341" s="7">
        <f>SUMIFS(Лист2!$D:$D,Лист2!$B:$B,Лист1!$B341,Лист2!$A:$A,Лист1!$A341)</f>
        <v>15030</v>
      </c>
      <c r="G341" s="7">
        <f>SUMIFS(Лист2!$E:$E,Лист2!$B:$B,Лист1!$B341,Лист2!$A:$A,Лист1!$A341)</f>
        <v>13956</v>
      </c>
      <c r="H341" s="14">
        <f t="shared" si="10"/>
        <v>415716.0254237288</v>
      </c>
      <c r="I341">
        <f t="shared" si="11"/>
        <v>22</v>
      </c>
    </row>
    <row r="342" spans="1:9" ht="14.25" customHeight="1" x14ac:dyDescent="0.3">
      <c r="A342" s="5">
        <v>43957</v>
      </c>
      <c r="B342" s="6" t="s">
        <v>22</v>
      </c>
      <c r="C342" s="6">
        <v>216498</v>
      </c>
      <c r="D342" s="6">
        <v>22126444.5</v>
      </c>
      <c r="E342" s="7">
        <f>SUMIFS(Лист2!C:C,Лист2!B:B,Лист1!B342,Лист2!A:A,Лист1!A342)</f>
        <v>54</v>
      </c>
      <c r="F342" s="7">
        <f>SUMIFS(Лист2!$D:$D,Лист2!$B:$B,Лист1!$B342,Лист2!$A:$A,Лист1!$A342)</f>
        <v>13406</v>
      </c>
      <c r="G342" s="7">
        <f>SUMIFS(Лист2!$E:$E,Лист2!$B:$B,Лист1!$B342,Лист2!$A:$A,Лист1!$A342)</f>
        <v>12518</v>
      </c>
      <c r="H342" s="14">
        <f t="shared" si="10"/>
        <v>409748.97222222225</v>
      </c>
      <c r="I342">
        <f t="shared" si="11"/>
        <v>19</v>
      </c>
    </row>
    <row r="343" spans="1:9" ht="14.25" customHeight="1" x14ac:dyDescent="0.3">
      <c r="A343" s="8">
        <v>43974</v>
      </c>
      <c r="B343" s="9" t="s">
        <v>22</v>
      </c>
      <c r="C343" s="9">
        <v>275793</v>
      </c>
      <c r="D343" s="9">
        <v>26806626</v>
      </c>
      <c r="E343" s="7">
        <f>SUMIFS(Лист2!C:C,Лист2!B:B,Лист1!B343,Лист2!A:A,Лист1!A343)</f>
        <v>54</v>
      </c>
      <c r="F343" s="7">
        <f>SUMIFS(Лист2!$D:$D,Лист2!$B:$B,Лист1!$B343,Лист2!$A:$A,Лист1!$A343)</f>
        <v>16221</v>
      </c>
      <c r="G343" s="7">
        <f>SUMIFS(Лист2!$E:$E,Лист2!$B:$B,Лист1!$B343,Лист2!$A:$A,Лист1!$A343)</f>
        <v>15065</v>
      </c>
      <c r="H343" s="14">
        <f t="shared" si="10"/>
        <v>496419</v>
      </c>
      <c r="I343">
        <f t="shared" si="11"/>
        <v>21</v>
      </c>
    </row>
    <row r="344" spans="1:9" ht="14.25" customHeight="1" x14ac:dyDescent="0.3">
      <c r="A344" s="5">
        <v>43979</v>
      </c>
      <c r="B344" s="6" t="s">
        <v>21</v>
      </c>
      <c r="C344" s="6">
        <v>199753.5</v>
      </c>
      <c r="D344" s="6">
        <v>20535733.5</v>
      </c>
      <c r="E344" s="7">
        <f>SUMIFS(Лист2!C:C,Лист2!B:B,Лист1!B344,Лист2!A:A,Лист1!A344)</f>
        <v>60</v>
      </c>
      <c r="F344" s="7">
        <f>SUMIFS(Лист2!$D:$D,Лист2!$B:$B,Лист1!$B344,Лист2!$A:$A,Лист1!$A344)</f>
        <v>12854</v>
      </c>
      <c r="G344" s="7">
        <f>SUMIFS(Лист2!$E:$E,Лист2!$B:$B,Лист1!$B344,Лист2!$A:$A,Лист1!$A344)</f>
        <v>11954</v>
      </c>
      <c r="H344" s="14">
        <f t="shared" si="10"/>
        <v>342262.22499999998</v>
      </c>
      <c r="I344">
        <f t="shared" si="11"/>
        <v>22</v>
      </c>
    </row>
    <row r="345" spans="1:9" ht="14.25" customHeight="1" x14ac:dyDescent="0.3">
      <c r="A345" s="8">
        <v>43976</v>
      </c>
      <c r="B345" s="9" t="s">
        <v>22</v>
      </c>
      <c r="C345" s="9">
        <v>192948</v>
      </c>
      <c r="D345" s="9">
        <v>19806927</v>
      </c>
      <c r="E345" s="7">
        <f>SUMIFS(Лист2!C:C,Лист2!B:B,Лист1!B345,Лист2!A:A,Лист1!A345)</f>
        <v>54</v>
      </c>
      <c r="F345" s="7">
        <f>SUMIFS(Лист2!$D:$D,Лист2!$B:$B,Лист1!$B345,Лист2!$A:$A,Лист1!$A345)</f>
        <v>12336</v>
      </c>
      <c r="G345" s="7">
        <f>SUMIFS(Лист2!$E:$E,Лист2!$B:$B,Лист1!$B345,Лист2!$A:$A,Лист1!$A345)</f>
        <v>11519</v>
      </c>
      <c r="H345" s="14">
        <f t="shared" si="10"/>
        <v>366794.94444444444</v>
      </c>
      <c r="I345">
        <f t="shared" si="11"/>
        <v>22</v>
      </c>
    </row>
    <row r="346" spans="1:9" ht="14.25" customHeight="1" x14ac:dyDescent="0.3">
      <c r="A346" s="5">
        <v>43951</v>
      </c>
      <c r="B346" s="6" t="s">
        <v>22</v>
      </c>
      <c r="C346" s="6">
        <v>206038.5</v>
      </c>
      <c r="D346" s="6">
        <v>21740460</v>
      </c>
      <c r="E346" s="7">
        <f>SUMIFS(Лист2!C:C,Лист2!B:B,Лист1!B346,Лист2!A:A,Лист1!A346)</f>
        <v>54</v>
      </c>
      <c r="F346" s="7">
        <f>SUMIFS(Лист2!$D:$D,Лист2!$B:$B,Лист1!$B346,Лист2!$A:$A,Лист1!$A346)</f>
        <v>12817</v>
      </c>
      <c r="G346" s="7">
        <f>SUMIFS(Лист2!$E:$E,Лист2!$B:$B,Лист1!$B346,Лист2!$A:$A,Лист1!$A346)</f>
        <v>11865</v>
      </c>
      <c r="H346" s="14">
        <f t="shared" si="10"/>
        <v>402601.11111111112</v>
      </c>
      <c r="I346">
        <f t="shared" si="11"/>
        <v>18</v>
      </c>
    </row>
    <row r="347" spans="1:9" ht="14.25" customHeight="1" x14ac:dyDescent="0.3">
      <c r="A347" s="8">
        <v>43961</v>
      </c>
      <c r="B347" s="9" t="s">
        <v>22</v>
      </c>
      <c r="C347" s="9">
        <v>231559.5</v>
      </c>
      <c r="D347" s="9">
        <v>23443725</v>
      </c>
      <c r="E347" s="7">
        <f>SUMIFS(Лист2!C:C,Лист2!B:B,Лист1!B347,Лист2!A:A,Лист1!A347)</f>
        <v>54</v>
      </c>
      <c r="F347" s="7">
        <f>SUMIFS(Лист2!$D:$D,Лист2!$B:$B,Лист1!$B347,Лист2!$A:$A,Лист1!$A347)</f>
        <v>13832</v>
      </c>
      <c r="G347" s="7">
        <f>SUMIFS(Лист2!$E:$E,Лист2!$B:$B,Лист1!$B347,Лист2!$A:$A,Лист1!$A347)</f>
        <v>12864</v>
      </c>
      <c r="H347" s="14">
        <f t="shared" si="10"/>
        <v>434143.05555555556</v>
      </c>
      <c r="I347">
        <f t="shared" si="11"/>
        <v>19</v>
      </c>
    </row>
    <row r="348" spans="1:9" ht="14.25" customHeight="1" x14ac:dyDescent="0.3">
      <c r="A348" s="5">
        <v>43959</v>
      </c>
      <c r="B348" s="6" t="s">
        <v>22</v>
      </c>
      <c r="C348" s="6">
        <v>225076.5</v>
      </c>
      <c r="D348" s="6">
        <v>22846078.5</v>
      </c>
      <c r="E348" s="7">
        <f>SUMIFS(Лист2!C:C,Лист2!B:B,Лист1!B348,Лист2!A:A,Лист1!A348)</f>
        <v>54</v>
      </c>
      <c r="F348" s="7">
        <f>SUMIFS(Лист2!$D:$D,Лист2!$B:$B,Лист1!$B348,Лист2!$A:$A,Лист1!$A348)</f>
        <v>13563</v>
      </c>
      <c r="G348" s="7">
        <f>SUMIFS(Лист2!$E:$E,Лист2!$B:$B,Лист1!$B348,Лист2!$A:$A,Лист1!$A348)</f>
        <v>12604</v>
      </c>
      <c r="H348" s="14">
        <f t="shared" si="10"/>
        <v>423075.52777777775</v>
      </c>
      <c r="I348">
        <f t="shared" si="11"/>
        <v>19</v>
      </c>
    </row>
    <row r="349" spans="1:9" ht="14.25" customHeight="1" x14ac:dyDescent="0.3">
      <c r="A349" s="8">
        <v>43958</v>
      </c>
      <c r="B349" s="9" t="s">
        <v>22</v>
      </c>
      <c r="C349" s="9">
        <v>209415</v>
      </c>
      <c r="D349" s="9">
        <v>21463023</v>
      </c>
      <c r="E349" s="7">
        <f>SUMIFS(Лист2!C:C,Лист2!B:B,Лист1!B349,Лист2!A:A,Лист1!A349)</f>
        <v>54</v>
      </c>
      <c r="F349" s="7">
        <f>SUMIFS(Лист2!$D:$D,Лист2!$B:$B,Лист1!$B349,Лист2!$A:$A,Лист1!$A349)</f>
        <v>12743</v>
      </c>
      <c r="G349" s="7">
        <f>SUMIFS(Лист2!$E:$E,Лист2!$B:$B,Лист1!$B349,Лист2!$A:$A,Лист1!$A349)</f>
        <v>11858</v>
      </c>
      <c r="H349" s="14">
        <f t="shared" si="10"/>
        <v>397463.38888888888</v>
      </c>
      <c r="I349">
        <f t="shared" si="11"/>
        <v>19</v>
      </c>
    </row>
    <row r="350" spans="1:9" ht="14.25" customHeight="1" x14ac:dyDescent="0.3">
      <c r="A350" s="5">
        <v>43975</v>
      </c>
      <c r="B350" s="6" t="s">
        <v>22</v>
      </c>
      <c r="C350" s="6">
        <v>193719</v>
      </c>
      <c r="D350" s="6">
        <v>19071117</v>
      </c>
      <c r="E350" s="7">
        <f>SUMIFS(Лист2!C:C,Лист2!B:B,Лист1!B350,Лист2!A:A,Лист1!A350)</f>
        <v>54</v>
      </c>
      <c r="F350" s="7">
        <f>SUMIFS(Лист2!$D:$D,Лист2!$B:$B,Лист1!$B350,Лист2!$A:$A,Лист1!$A350)</f>
        <v>12211</v>
      </c>
      <c r="G350" s="7">
        <f>SUMIFS(Лист2!$E:$E,Лист2!$B:$B,Лист1!$B350,Лист2!$A:$A,Лист1!$A350)</f>
        <v>11427</v>
      </c>
      <c r="H350" s="14">
        <f t="shared" si="10"/>
        <v>353168.83333333331</v>
      </c>
      <c r="I350">
        <f t="shared" si="11"/>
        <v>21</v>
      </c>
    </row>
    <row r="351" spans="1:9" ht="14.25" customHeight="1" x14ac:dyDescent="0.3">
      <c r="A351" s="8">
        <v>43950</v>
      </c>
      <c r="B351" s="9" t="s">
        <v>23</v>
      </c>
      <c r="C351" s="9">
        <v>12250.5</v>
      </c>
      <c r="D351" s="9">
        <v>981519</v>
      </c>
      <c r="E351" s="7">
        <f>SUMIFS(Лист2!C:C,Лист2!B:B,Лист1!B351,Лист2!A:A,Лист1!A351)</f>
        <v>15</v>
      </c>
      <c r="F351" s="7">
        <f>SUMIFS(Лист2!$D:$D,Лист2!$B:$B,Лист1!$B351,Лист2!$A:$A,Лист1!$A351)</f>
        <v>659</v>
      </c>
      <c r="G351" s="7">
        <f>SUMIFS(Лист2!$E:$E,Лист2!$B:$B,Лист1!$B351,Лист2!$A:$A,Лист1!$A351)</f>
        <v>575</v>
      </c>
      <c r="H351" s="14">
        <f t="shared" si="10"/>
        <v>65434.6</v>
      </c>
      <c r="I351">
        <f t="shared" si="11"/>
        <v>18</v>
      </c>
    </row>
    <row r="352" spans="1:9" ht="14.25" customHeight="1" x14ac:dyDescent="0.3">
      <c r="A352" s="5">
        <v>43949</v>
      </c>
      <c r="B352" s="6" t="s">
        <v>23</v>
      </c>
      <c r="C352" s="6">
        <v>12541.5</v>
      </c>
      <c r="D352" s="6">
        <v>992541</v>
      </c>
      <c r="E352" s="7">
        <f>SUMIFS(Лист2!C:C,Лист2!B:B,Лист1!B352,Лист2!A:A,Лист1!A352)</f>
        <v>15</v>
      </c>
      <c r="F352" s="7">
        <f>SUMIFS(Лист2!$D:$D,Лист2!$B:$B,Лист1!$B352,Лист2!$A:$A,Лист1!$A352)</f>
        <v>636</v>
      </c>
      <c r="G352" s="7">
        <f>SUMIFS(Лист2!$E:$E,Лист2!$B:$B,Лист1!$B352,Лист2!$A:$A,Лист1!$A352)</f>
        <v>547</v>
      </c>
      <c r="H352" s="14">
        <f t="shared" si="10"/>
        <v>66169.399999999994</v>
      </c>
      <c r="I352">
        <f t="shared" si="11"/>
        <v>18</v>
      </c>
    </row>
    <row r="353" spans="1:9" ht="14.25" customHeight="1" x14ac:dyDescent="0.3">
      <c r="A353" s="8">
        <v>43982</v>
      </c>
      <c r="B353" s="9" t="s">
        <v>22</v>
      </c>
      <c r="C353" s="9">
        <v>206758.5</v>
      </c>
      <c r="D353" s="9">
        <v>20717248.5</v>
      </c>
      <c r="E353" s="7">
        <f>SUMIFS(Лист2!C:C,Лист2!B:B,Лист1!B353,Лист2!A:A,Лист1!A353)</f>
        <v>54</v>
      </c>
      <c r="F353" s="7">
        <f>SUMIFS(Лист2!$D:$D,Лист2!$B:$B,Лист1!$B353,Лист2!$A:$A,Лист1!$A353)</f>
        <v>13106</v>
      </c>
      <c r="G353" s="7">
        <f>SUMIFS(Лист2!$E:$E,Лист2!$B:$B,Лист1!$B353,Лист2!$A:$A,Лист1!$A353)</f>
        <v>12164</v>
      </c>
      <c r="H353" s="14">
        <f t="shared" si="10"/>
        <v>383652.75</v>
      </c>
      <c r="I353">
        <f t="shared" si="11"/>
        <v>22</v>
      </c>
    </row>
    <row r="354" spans="1:9" ht="14.25" customHeight="1" x14ac:dyDescent="0.3">
      <c r="A354" s="5">
        <v>43981</v>
      </c>
      <c r="B354" s="6" t="s">
        <v>22</v>
      </c>
      <c r="C354" s="6">
        <v>244734</v>
      </c>
      <c r="D354" s="6">
        <v>24151980</v>
      </c>
      <c r="E354" s="7">
        <f>SUMIFS(Лист2!C:C,Лист2!B:B,Лист1!B354,Лист2!A:A,Лист1!A354)</f>
        <v>54</v>
      </c>
      <c r="F354" s="7">
        <f>SUMIFS(Лист2!$D:$D,Лист2!$B:$B,Лист1!$B354,Лист2!$A:$A,Лист1!$A354)</f>
        <v>14590</v>
      </c>
      <c r="G354" s="7">
        <f>SUMIFS(Лист2!$E:$E,Лист2!$B:$B,Лист1!$B354,Лист2!$A:$A,Лист1!$A354)</f>
        <v>13551</v>
      </c>
      <c r="H354" s="14">
        <f t="shared" si="10"/>
        <v>447258.88888888888</v>
      </c>
      <c r="I354">
        <f t="shared" si="11"/>
        <v>22</v>
      </c>
    </row>
    <row r="355" spans="1:9" ht="14.25" customHeight="1" x14ac:dyDescent="0.3">
      <c r="A355" s="8">
        <v>43979</v>
      </c>
      <c r="B355" s="9" t="s">
        <v>22</v>
      </c>
      <c r="C355" s="9">
        <v>191641.5</v>
      </c>
      <c r="D355" s="9">
        <v>19549036.5</v>
      </c>
      <c r="E355" s="7">
        <f>SUMIFS(Лист2!C:C,Лист2!B:B,Лист1!B355,Лист2!A:A,Лист1!A355)</f>
        <v>54</v>
      </c>
      <c r="F355" s="7">
        <f>SUMIFS(Лист2!$D:$D,Лист2!$B:$B,Лист1!$B355,Лист2!$A:$A,Лист1!$A355)</f>
        <v>12409</v>
      </c>
      <c r="G355" s="7">
        <f>SUMIFS(Лист2!$E:$E,Лист2!$B:$B,Лист1!$B355,Лист2!$A:$A,Лист1!$A355)</f>
        <v>11582</v>
      </c>
      <c r="H355" s="14">
        <f t="shared" si="10"/>
        <v>362019.19444444444</v>
      </c>
      <c r="I355">
        <f t="shared" si="11"/>
        <v>22</v>
      </c>
    </row>
    <row r="356" spans="1:9" ht="14.25" customHeight="1" x14ac:dyDescent="0.3">
      <c r="A356" s="5">
        <v>43967</v>
      </c>
      <c r="B356" s="6" t="s">
        <v>23</v>
      </c>
      <c r="C356" s="6">
        <v>16368</v>
      </c>
      <c r="D356" s="6">
        <v>1316350.5</v>
      </c>
      <c r="E356" s="7">
        <f>SUMIFS(Лист2!C:C,Лист2!B:B,Лист1!B356,Лист2!A:A,Лист1!A356)</f>
        <v>16</v>
      </c>
      <c r="F356" s="7">
        <f>SUMIFS(Лист2!$D:$D,Лист2!$B:$B,Лист1!$B356,Лист2!$A:$A,Лист1!$A356)</f>
        <v>920</v>
      </c>
      <c r="G356" s="7">
        <f>SUMIFS(Лист2!$E:$E,Лист2!$B:$B,Лист1!$B356,Лист2!$A:$A,Лист1!$A356)</f>
        <v>818</v>
      </c>
      <c r="H356" s="14">
        <f t="shared" si="10"/>
        <v>82271.90625</v>
      </c>
      <c r="I356">
        <f t="shared" si="11"/>
        <v>20</v>
      </c>
    </row>
    <row r="357" spans="1:9" ht="14.25" customHeight="1" x14ac:dyDescent="0.3">
      <c r="A357" s="8">
        <v>43970</v>
      </c>
      <c r="B357" s="9" t="s">
        <v>23</v>
      </c>
      <c r="C357" s="9">
        <v>14427</v>
      </c>
      <c r="D357" s="9">
        <v>1126810.5</v>
      </c>
      <c r="E357" s="7">
        <f>SUMIFS(Лист2!C:C,Лист2!B:B,Лист1!B357,Лист2!A:A,Лист1!A357)</f>
        <v>17</v>
      </c>
      <c r="F357" s="7">
        <f>SUMIFS(Лист2!$D:$D,Лист2!$B:$B,Лист1!$B357,Лист2!$A:$A,Лист1!$A357)</f>
        <v>857</v>
      </c>
      <c r="G357" s="7">
        <f>SUMIFS(Лист2!$E:$E,Лист2!$B:$B,Лист1!$B357,Лист2!$A:$A,Лист1!$A357)</f>
        <v>757</v>
      </c>
      <c r="H357" s="14">
        <f t="shared" si="10"/>
        <v>66282.970588235301</v>
      </c>
      <c r="I357">
        <f t="shared" si="11"/>
        <v>21</v>
      </c>
    </row>
    <row r="358" spans="1:9" ht="14.25" customHeight="1" x14ac:dyDescent="0.3">
      <c r="A358" s="5">
        <v>43968</v>
      </c>
      <c r="B358" s="6" t="s">
        <v>23</v>
      </c>
      <c r="C358" s="6">
        <v>13440</v>
      </c>
      <c r="D358" s="6">
        <v>1157529</v>
      </c>
      <c r="E358" s="7">
        <f>SUMIFS(Лист2!C:C,Лист2!B:B,Лист1!B358,Лист2!A:A,Лист1!A358)</f>
        <v>16</v>
      </c>
      <c r="F358" s="7">
        <f>SUMIFS(Лист2!$D:$D,Лист2!$B:$B,Лист1!$B358,Лист2!$A:$A,Лист1!$A358)</f>
        <v>859</v>
      </c>
      <c r="G358" s="7">
        <f>SUMIFS(Лист2!$E:$E,Лист2!$B:$B,Лист1!$B358,Лист2!$A:$A,Лист1!$A358)</f>
        <v>746</v>
      </c>
      <c r="H358" s="14">
        <f t="shared" si="10"/>
        <v>72345.5625</v>
      </c>
      <c r="I358">
        <f t="shared" si="11"/>
        <v>20</v>
      </c>
    </row>
    <row r="359" spans="1:9" ht="14.25" customHeight="1" x14ac:dyDescent="0.3">
      <c r="A359" s="8">
        <v>43960</v>
      </c>
      <c r="B359" s="9" t="s">
        <v>23</v>
      </c>
      <c r="C359" s="9">
        <v>11745</v>
      </c>
      <c r="D359" s="9">
        <v>955801.5</v>
      </c>
      <c r="E359" s="7">
        <f>SUMIFS(Лист2!C:C,Лист2!B:B,Лист1!B359,Лист2!A:A,Лист1!A359)</f>
        <v>15</v>
      </c>
      <c r="F359" s="7">
        <f>SUMIFS(Лист2!$D:$D,Лист2!$B:$B,Лист1!$B359,Лист2!$A:$A,Лист1!$A359)</f>
        <v>654</v>
      </c>
      <c r="G359" s="7">
        <f>SUMIFS(Лист2!$E:$E,Лист2!$B:$B,Лист1!$B359,Лист2!$A:$A,Лист1!$A359)</f>
        <v>570</v>
      </c>
      <c r="H359" s="14">
        <f t="shared" si="10"/>
        <v>63720.1</v>
      </c>
      <c r="I359">
        <f t="shared" si="11"/>
        <v>19</v>
      </c>
    </row>
    <row r="360" spans="1:9" ht="14.25" customHeight="1" x14ac:dyDescent="0.3">
      <c r="A360" s="5">
        <v>43955</v>
      </c>
      <c r="B360" s="6" t="s">
        <v>23</v>
      </c>
      <c r="C360" s="6">
        <v>11062.5</v>
      </c>
      <c r="D360" s="6">
        <v>906343.5</v>
      </c>
      <c r="E360" s="7">
        <f>SUMIFS(Лист2!C:C,Лист2!B:B,Лист1!B360,Лист2!A:A,Лист1!A360)</f>
        <v>15</v>
      </c>
      <c r="F360" s="7">
        <f>SUMIFS(Лист2!$D:$D,Лист2!$B:$B,Лист1!$B360,Лист2!$A:$A,Лист1!$A360)</f>
        <v>622</v>
      </c>
      <c r="G360" s="7">
        <f>SUMIFS(Лист2!$E:$E,Лист2!$B:$B,Лист1!$B360,Лист2!$A:$A,Лист1!$A360)</f>
        <v>538</v>
      </c>
      <c r="H360" s="14">
        <f t="shared" si="10"/>
        <v>60422.9</v>
      </c>
      <c r="I360">
        <f t="shared" si="11"/>
        <v>19</v>
      </c>
    </row>
    <row r="361" spans="1:9" ht="14.25" customHeight="1" x14ac:dyDescent="0.3">
      <c r="A361" s="8">
        <v>43953</v>
      </c>
      <c r="B361" s="9" t="s">
        <v>23</v>
      </c>
      <c r="C361" s="9">
        <v>10018.5</v>
      </c>
      <c r="D361" s="9">
        <v>816859.5</v>
      </c>
      <c r="E361" s="7">
        <f>SUMIFS(Лист2!C:C,Лист2!B:B,Лист1!B361,Лист2!A:A,Лист1!A361)</f>
        <v>15</v>
      </c>
      <c r="F361" s="7">
        <f>SUMIFS(Лист2!$D:$D,Лист2!$B:$B,Лист1!$B361,Лист2!$A:$A,Лист1!$A361)</f>
        <v>567</v>
      </c>
      <c r="G361" s="7">
        <f>SUMIFS(Лист2!$E:$E,Лист2!$B:$B,Лист1!$B361,Лист2!$A:$A,Лист1!$A361)</f>
        <v>493</v>
      </c>
      <c r="H361" s="14">
        <f t="shared" si="10"/>
        <v>54457.3</v>
      </c>
      <c r="I361">
        <f t="shared" si="11"/>
        <v>18</v>
      </c>
    </row>
    <row r="362" spans="1:9" ht="14.25" customHeight="1" x14ac:dyDescent="0.3">
      <c r="A362" s="5">
        <v>43977</v>
      </c>
      <c r="B362" s="6" t="s">
        <v>24</v>
      </c>
      <c r="C362" s="6">
        <v>10437</v>
      </c>
      <c r="D362" s="6">
        <v>833815.5</v>
      </c>
      <c r="E362" s="7">
        <f>SUMIFS(Лист2!C:C,Лист2!B:B,Лист1!B362,Лист2!A:A,Лист1!A362)</f>
        <v>7</v>
      </c>
      <c r="F362" s="7">
        <f>SUMIFS(Лист2!$D:$D,Лист2!$B:$B,Лист1!$B362,Лист2!$A:$A,Лист1!$A362)</f>
        <v>577</v>
      </c>
      <c r="G362" s="7">
        <f>SUMIFS(Лист2!$E:$E,Лист2!$B:$B,Лист1!$B362,Лист2!$A:$A,Лист1!$A362)</f>
        <v>389</v>
      </c>
      <c r="H362" s="14">
        <f t="shared" si="10"/>
        <v>119116.5</v>
      </c>
      <c r="I362">
        <f t="shared" si="11"/>
        <v>22</v>
      </c>
    </row>
    <row r="363" spans="1:9" ht="14.25" customHeight="1" x14ac:dyDescent="0.3">
      <c r="A363" s="8">
        <v>43952</v>
      </c>
      <c r="B363" s="9" t="s">
        <v>23</v>
      </c>
      <c r="C363" s="9">
        <v>13644</v>
      </c>
      <c r="D363" s="9">
        <v>1134444</v>
      </c>
      <c r="E363" s="7">
        <f>SUMIFS(Лист2!C:C,Лист2!B:B,Лист1!B363,Лист2!A:A,Лист1!A363)</f>
        <v>15</v>
      </c>
      <c r="F363" s="7">
        <f>SUMIFS(Лист2!$D:$D,Лист2!$B:$B,Лист1!$B363,Лист2!$A:$A,Лист1!$A363)</f>
        <v>721</v>
      </c>
      <c r="G363" s="7">
        <f>SUMIFS(Лист2!$E:$E,Лист2!$B:$B,Лист1!$B363,Лист2!$A:$A,Лист1!$A363)</f>
        <v>625</v>
      </c>
      <c r="H363" s="14">
        <f t="shared" si="10"/>
        <v>75629.600000000006</v>
      </c>
      <c r="I363">
        <f t="shared" si="11"/>
        <v>18</v>
      </c>
    </row>
    <row r="364" spans="1:9" ht="14.25" customHeight="1" x14ac:dyDescent="0.3">
      <c r="A364" s="5">
        <v>43963</v>
      </c>
      <c r="B364" s="6" t="s">
        <v>23</v>
      </c>
      <c r="C364" s="6">
        <v>13443</v>
      </c>
      <c r="D364" s="6">
        <v>1092277.5</v>
      </c>
      <c r="E364" s="7">
        <f>SUMIFS(Лист2!C:C,Лист2!B:B,Лист1!B364,Лист2!A:A,Лист1!A364)</f>
        <v>15</v>
      </c>
      <c r="F364" s="7">
        <f>SUMIFS(Лист2!$D:$D,Лист2!$B:$B,Лист1!$B364,Лист2!$A:$A,Лист1!$A364)</f>
        <v>750</v>
      </c>
      <c r="G364" s="7">
        <f>SUMIFS(Лист2!$E:$E,Лист2!$B:$B,Лист1!$B364,Лист2!$A:$A,Лист1!$A364)</f>
        <v>659</v>
      </c>
      <c r="H364" s="14">
        <f t="shared" si="10"/>
        <v>72818.5</v>
      </c>
      <c r="I364">
        <f t="shared" si="11"/>
        <v>20</v>
      </c>
    </row>
    <row r="365" spans="1:9" ht="14.25" customHeight="1" x14ac:dyDescent="0.3">
      <c r="A365" s="8">
        <v>43972</v>
      </c>
      <c r="B365" s="9" t="s">
        <v>23</v>
      </c>
      <c r="C365" s="9">
        <v>14182.5</v>
      </c>
      <c r="D365" s="9">
        <v>1172574</v>
      </c>
      <c r="E365" s="7">
        <f>SUMIFS(Лист2!C:C,Лист2!B:B,Лист1!B365,Лист2!A:A,Лист1!A365)</f>
        <v>18</v>
      </c>
      <c r="F365" s="7">
        <f>SUMIFS(Лист2!$D:$D,Лист2!$B:$B,Лист1!$B365,Лист2!$A:$A,Лист1!$A365)</f>
        <v>888</v>
      </c>
      <c r="G365" s="7">
        <f>SUMIFS(Лист2!$E:$E,Лист2!$B:$B,Лист1!$B365,Лист2!$A:$A,Лист1!$A365)</f>
        <v>786</v>
      </c>
      <c r="H365" s="14">
        <f t="shared" si="10"/>
        <v>65143</v>
      </c>
      <c r="I365">
        <f t="shared" si="11"/>
        <v>21</v>
      </c>
    </row>
    <row r="366" spans="1:9" ht="14.25" customHeight="1" x14ac:dyDescent="0.3">
      <c r="A366" s="5">
        <v>43971</v>
      </c>
      <c r="B366" s="6" t="s">
        <v>23</v>
      </c>
      <c r="C366" s="6">
        <v>14928</v>
      </c>
      <c r="D366" s="6">
        <v>1217749.5</v>
      </c>
      <c r="E366" s="7">
        <f>SUMIFS(Лист2!C:C,Лист2!B:B,Лист1!B366,Лист2!A:A,Лист1!A366)</f>
        <v>17</v>
      </c>
      <c r="F366" s="7">
        <f>SUMIFS(Лист2!$D:$D,Лист2!$B:$B,Лист1!$B366,Лист2!$A:$A,Лист1!$A366)</f>
        <v>890</v>
      </c>
      <c r="G366" s="7">
        <f>SUMIFS(Лист2!$E:$E,Лист2!$B:$B,Лист1!$B366,Лист2!$A:$A,Лист1!$A366)</f>
        <v>794</v>
      </c>
      <c r="H366" s="14">
        <f t="shared" si="10"/>
        <v>71632.323529411762</v>
      </c>
      <c r="I366">
        <f t="shared" si="11"/>
        <v>21</v>
      </c>
    </row>
    <row r="367" spans="1:9" ht="14.25" customHeight="1" x14ac:dyDescent="0.3">
      <c r="A367" s="8">
        <v>43956</v>
      </c>
      <c r="B367" s="9" t="s">
        <v>23</v>
      </c>
      <c r="C367" s="9">
        <v>13941</v>
      </c>
      <c r="D367" s="9">
        <v>1145575.5</v>
      </c>
      <c r="E367" s="7">
        <f>SUMIFS(Лист2!C:C,Лист2!B:B,Лист1!B367,Лист2!A:A,Лист1!A367)</f>
        <v>15</v>
      </c>
      <c r="F367" s="7">
        <f>SUMIFS(Лист2!$D:$D,Лист2!$B:$B,Лист1!$B367,Лист2!$A:$A,Лист1!$A367)</f>
        <v>750</v>
      </c>
      <c r="G367" s="7">
        <f>SUMIFS(Лист2!$E:$E,Лист2!$B:$B,Лист1!$B367,Лист2!$A:$A,Лист1!$A367)</f>
        <v>658</v>
      </c>
      <c r="H367" s="14">
        <f t="shared" si="10"/>
        <v>76371.7</v>
      </c>
      <c r="I367">
        <f t="shared" si="11"/>
        <v>19</v>
      </c>
    </row>
    <row r="368" spans="1:9" ht="14.25" customHeight="1" x14ac:dyDescent="0.3">
      <c r="A368" s="5">
        <v>43964</v>
      </c>
      <c r="B368" s="6" t="s">
        <v>23</v>
      </c>
      <c r="C368" s="6">
        <v>14643</v>
      </c>
      <c r="D368" s="6">
        <v>1172691</v>
      </c>
      <c r="E368" s="7">
        <f>SUMIFS(Лист2!C:C,Лист2!B:B,Лист1!B368,Лист2!A:A,Лист1!A368)</f>
        <v>15</v>
      </c>
      <c r="F368" s="7">
        <f>SUMIFS(Лист2!$D:$D,Лист2!$B:$B,Лист1!$B368,Лист2!$A:$A,Лист1!$A368)</f>
        <v>854</v>
      </c>
      <c r="G368" s="7">
        <f>SUMIFS(Лист2!$E:$E,Лист2!$B:$B,Лист1!$B368,Лист2!$A:$A,Лист1!$A368)</f>
        <v>756</v>
      </c>
      <c r="H368" s="14">
        <f t="shared" si="10"/>
        <v>78179.399999999994</v>
      </c>
      <c r="I368">
        <f t="shared" si="11"/>
        <v>20</v>
      </c>
    </row>
    <row r="369" spans="1:9" ht="14.25" customHeight="1" x14ac:dyDescent="0.3">
      <c r="A369" s="8">
        <v>43954</v>
      </c>
      <c r="B369" s="9" t="s">
        <v>23</v>
      </c>
      <c r="C369" s="9">
        <v>10032</v>
      </c>
      <c r="D369" s="9">
        <v>816150</v>
      </c>
      <c r="E369" s="7">
        <f>SUMIFS(Лист2!C:C,Лист2!B:B,Лист1!B369,Лист2!A:A,Лист1!A369)</f>
        <v>15</v>
      </c>
      <c r="F369" s="7">
        <f>SUMIFS(Лист2!$D:$D,Лист2!$B:$B,Лист1!$B369,Лист2!$A:$A,Лист1!$A369)</f>
        <v>585</v>
      </c>
      <c r="G369" s="7">
        <f>SUMIFS(Лист2!$E:$E,Лист2!$B:$B,Лист1!$B369,Лист2!$A:$A,Лист1!$A369)</f>
        <v>502</v>
      </c>
      <c r="H369" s="14">
        <f t="shared" si="10"/>
        <v>54410</v>
      </c>
      <c r="I369">
        <f t="shared" si="11"/>
        <v>18</v>
      </c>
    </row>
    <row r="370" spans="1:9" ht="14.25" customHeight="1" x14ac:dyDescent="0.3">
      <c r="A370" s="5">
        <v>43957</v>
      </c>
      <c r="B370" s="6" t="s">
        <v>23</v>
      </c>
      <c r="C370" s="6">
        <v>12468</v>
      </c>
      <c r="D370" s="6">
        <v>1016566.5</v>
      </c>
      <c r="E370" s="7">
        <f>SUMIFS(Лист2!C:C,Лист2!B:B,Лист1!B370,Лист2!A:A,Лист1!A370)</f>
        <v>15</v>
      </c>
      <c r="F370" s="7">
        <f>SUMIFS(Лист2!$D:$D,Лист2!$B:$B,Лист1!$B370,Лист2!$A:$A,Лист1!$A370)</f>
        <v>701</v>
      </c>
      <c r="G370" s="7">
        <f>SUMIFS(Лист2!$E:$E,Лист2!$B:$B,Лист1!$B370,Лист2!$A:$A,Лист1!$A370)</f>
        <v>611</v>
      </c>
      <c r="H370" s="14">
        <f t="shared" si="10"/>
        <v>67771.100000000006</v>
      </c>
      <c r="I370">
        <f t="shared" si="11"/>
        <v>19</v>
      </c>
    </row>
    <row r="371" spans="1:9" ht="14.25" customHeight="1" x14ac:dyDescent="0.3">
      <c r="A371" s="8">
        <v>43974</v>
      </c>
      <c r="B371" s="9" t="s">
        <v>23</v>
      </c>
      <c r="C371" s="9">
        <v>17943</v>
      </c>
      <c r="D371" s="9">
        <v>1457391</v>
      </c>
      <c r="E371" s="7">
        <f>SUMIFS(Лист2!C:C,Лист2!B:B,Лист1!B371,Лист2!A:A,Лист1!A371)</f>
        <v>18</v>
      </c>
      <c r="F371" s="7">
        <f>SUMIFS(Лист2!$D:$D,Лист2!$B:$B,Лист1!$B371,Лист2!$A:$A,Лист1!$A371)</f>
        <v>1031</v>
      </c>
      <c r="G371" s="7">
        <f>SUMIFS(Лист2!$E:$E,Лист2!$B:$B,Лист1!$B371,Лист2!$A:$A,Лист1!$A371)</f>
        <v>918</v>
      </c>
      <c r="H371" s="14">
        <f t="shared" si="10"/>
        <v>80966.166666666672</v>
      </c>
      <c r="I371">
        <f t="shared" si="11"/>
        <v>21</v>
      </c>
    </row>
    <row r="372" spans="1:9" ht="14.25" customHeight="1" x14ac:dyDescent="0.3">
      <c r="A372" s="5">
        <v>43976</v>
      </c>
      <c r="B372" s="6" t="s">
        <v>23</v>
      </c>
      <c r="C372" s="6">
        <v>15807</v>
      </c>
      <c r="D372" s="6">
        <v>1326705</v>
      </c>
      <c r="E372" s="7">
        <f>SUMIFS(Лист2!C:C,Лист2!B:B,Лист1!B372,Лист2!A:A,Лист1!A372)</f>
        <v>18</v>
      </c>
      <c r="F372" s="7">
        <f>SUMIFS(Лист2!$D:$D,Лист2!$B:$B,Лист1!$B372,Лист2!$A:$A,Лист1!$A372)</f>
        <v>989</v>
      </c>
      <c r="G372" s="7">
        <f>SUMIFS(Лист2!$E:$E,Лист2!$B:$B,Лист1!$B372,Лист2!$A:$A,Лист1!$A372)</f>
        <v>887</v>
      </c>
      <c r="H372" s="14">
        <f t="shared" si="10"/>
        <v>73705.833333333328</v>
      </c>
      <c r="I372">
        <f t="shared" si="11"/>
        <v>22</v>
      </c>
    </row>
    <row r="373" spans="1:9" ht="14.25" customHeight="1" x14ac:dyDescent="0.3">
      <c r="A373" s="8">
        <v>43951</v>
      </c>
      <c r="B373" s="9" t="s">
        <v>23</v>
      </c>
      <c r="C373" s="9">
        <v>11976</v>
      </c>
      <c r="D373" s="9">
        <v>1004511</v>
      </c>
      <c r="E373" s="7">
        <f>SUMIFS(Лист2!C:C,Лист2!B:B,Лист1!B373,Лист2!A:A,Лист1!A373)</f>
        <v>15</v>
      </c>
      <c r="F373" s="7">
        <f>SUMIFS(Лист2!$D:$D,Лист2!$B:$B,Лист1!$B373,Лист2!$A:$A,Лист1!$A373)</f>
        <v>644</v>
      </c>
      <c r="G373" s="7">
        <f>SUMIFS(Лист2!$E:$E,Лист2!$B:$B,Лист1!$B373,Лист2!$A:$A,Лист1!$A373)</f>
        <v>550</v>
      </c>
      <c r="H373" s="14">
        <f t="shared" si="10"/>
        <v>66967.399999999994</v>
      </c>
      <c r="I373">
        <f t="shared" si="11"/>
        <v>18</v>
      </c>
    </row>
    <row r="374" spans="1:9" ht="14.25" customHeight="1" x14ac:dyDescent="0.3">
      <c r="A374" s="5">
        <v>43961</v>
      </c>
      <c r="B374" s="6" t="s">
        <v>23</v>
      </c>
      <c r="C374" s="6">
        <v>14566.5</v>
      </c>
      <c r="D374" s="6">
        <v>1216557</v>
      </c>
      <c r="E374" s="7">
        <f>SUMIFS(Лист2!C:C,Лист2!B:B,Лист1!B374,Лист2!A:A,Лист1!A374)</f>
        <v>15</v>
      </c>
      <c r="F374" s="7">
        <f>SUMIFS(Лист2!$D:$D,Лист2!$B:$B,Лист1!$B374,Лист2!$A:$A,Лист1!$A374)</f>
        <v>792</v>
      </c>
      <c r="G374" s="7">
        <f>SUMIFS(Лист2!$E:$E,Лист2!$B:$B,Лист1!$B374,Лист2!$A:$A,Лист1!$A374)</f>
        <v>695</v>
      </c>
      <c r="H374" s="14">
        <f t="shared" si="10"/>
        <v>81103.8</v>
      </c>
      <c r="I374">
        <f t="shared" si="11"/>
        <v>19</v>
      </c>
    </row>
    <row r="375" spans="1:9" ht="14.25" customHeight="1" x14ac:dyDescent="0.3">
      <c r="A375" s="8">
        <v>43959</v>
      </c>
      <c r="B375" s="9" t="s">
        <v>23</v>
      </c>
      <c r="C375" s="9">
        <v>12976.5</v>
      </c>
      <c r="D375" s="9">
        <v>1046848.5</v>
      </c>
      <c r="E375" s="7">
        <f>SUMIFS(Лист2!C:C,Лист2!B:B,Лист1!B375,Лист2!A:A,Лист1!A375)</f>
        <v>15</v>
      </c>
      <c r="F375" s="7">
        <f>SUMIFS(Лист2!$D:$D,Лист2!$B:$B,Лист1!$B375,Лист2!$A:$A,Лист1!$A375)</f>
        <v>703</v>
      </c>
      <c r="G375" s="7">
        <f>SUMIFS(Лист2!$E:$E,Лист2!$B:$B,Лист1!$B375,Лист2!$A:$A,Лист1!$A375)</f>
        <v>609</v>
      </c>
      <c r="H375" s="14">
        <f t="shared" si="10"/>
        <v>69789.899999999994</v>
      </c>
      <c r="I375">
        <f t="shared" si="11"/>
        <v>19</v>
      </c>
    </row>
    <row r="376" spans="1:9" ht="14.25" customHeight="1" x14ac:dyDescent="0.3">
      <c r="A376" s="5">
        <v>43958</v>
      </c>
      <c r="B376" s="6" t="s">
        <v>23</v>
      </c>
      <c r="C376" s="6">
        <v>11719.5</v>
      </c>
      <c r="D376" s="6">
        <v>965880</v>
      </c>
      <c r="E376" s="7">
        <f>SUMIFS(Лист2!C:C,Лист2!B:B,Лист1!B376,Лист2!A:A,Лист1!A376)</f>
        <v>15</v>
      </c>
      <c r="F376" s="7">
        <f>SUMIFS(Лист2!$D:$D,Лист2!$B:$B,Лист1!$B376,Лист2!$A:$A,Лист1!$A376)</f>
        <v>676</v>
      </c>
      <c r="G376" s="7">
        <f>SUMIFS(Лист2!$E:$E,Лист2!$B:$B,Лист1!$B376,Лист2!$A:$A,Лист1!$A376)</f>
        <v>591</v>
      </c>
      <c r="H376" s="14">
        <f t="shared" si="10"/>
        <v>64392</v>
      </c>
      <c r="I376">
        <f t="shared" si="11"/>
        <v>19</v>
      </c>
    </row>
    <row r="377" spans="1:9" ht="14.25" customHeight="1" x14ac:dyDescent="0.3">
      <c r="A377" s="8">
        <v>43975</v>
      </c>
      <c r="B377" s="9" t="s">
        <v>23</v>
      </c>
      <c r="C377" s="9">
        <v>17197.5</v>
      </c>
      <c r="D377" s="9">
        <v>1386262.5</v>
      </c>
      <c r="E377" s="7">
        <f>SUMIFS(Лист2!C:C,Лист2!B:B,Лист1!B377,Лист2!A:A,Лист1!A377)</f>
        <v>18</v>
      </c>
      <c r="F377" s="7">
        <f>SUMIFS(Лист2!$D:$D,Лист2!$B:$B,Лист1!$B377,Лист2!$A:$A,Лист1!$A377)</f>
        <v>1006</v>
      </c>
      <c r="G377" s="7">
        <f>SUMIFS(Лист2!$E:$E,Лист2!$B:$B,Лист1!$B377,Лист2!$A:$A,Лист1!$A377)</f>
        <v>904</v>
      </c>
      <c r="H377" s="14">
        <f t="shared" si="10"/>
        <v>77014.583333333328</v>
      </c>
      <c r="I377">
        <f t="shared" si="11"/>
        <v>21</v>
      </c>
    </row>
    <row r="378" spans="1:9" ht="14.25" customHeight="1" x14ac:dyDescent="0.3">
      <c r="A378" s="5">
        <v>43977</v>
      </c>
      <c r="B378" s="6" t="s">
        <v>23</v>
      </c>
      <c r="C378" s="6">
        <v>14419.5</v>
      </c>
      <c r="D378" s="6">
        <v>1210456.5</v>
      </c>
      <c r="E378" s="7">
        <f>SUMIFS(Лист2!C:C,Лист2!B:B,Лист1!B378,Лист2!A:A,Лист1!A378)</f>
        <v>18</v>
      </c>
      <c r="F378" s="7">
        <f>SUMIFS(Лист2!$D:$D,Лист2!$B:$B,Лист1!$B378,Лист2!$A:$A,Лист1!$A378)</f>
        <v>914</v>
      </c>
      <c r="G378" s="7">
        <f>SUMIFS(Лист2!$E:$E,Лист2!$B:$B,Лист1!$B378,Лист2!$A:$A,Лист1!$A378)</f>
        <v>804</v>
      </c>
      <c r="H378" s="14">
        <f t="shared" si="10"/>
        <v>67247.583333333328</v>
      </c>
      <c r="I378">
        <f t="shared" si="11"/>
        <v>22</v>
      </c>
    </row>
    <row r="379" spans="1:9" ht="14.25" customHeight="1" x14ac:dyDescent="0.3">
      <c r="A379" s="8">
        <v>43983</v>
      </c>
      <c r="B379" s="9" t="s">
        <v>9</v>
      </c>
      <c r="C379" s="9">
        <v>7816.5</v>
      </c>
      <c r="D379" s="9">
        <v>636345</v>
      </c>
      <c r="E379" s="7">
        <f>SUMIFS(Лист2!C:C,Лист2!B:B,Лист1!B379,Лист2!A:A,Лист1!A379)</f>
        <v>15</v>
      </c>
      <c r="F379" s="7">
        <f>SUMIFS(Лист2!$D:$D,Лист2!$B:$B,Лист1!$B379,Лист2!$A:$A,Лист1!$A379)</f>
        <v>453</v>
      </c>
      <c r="G379" s="7">
        <f>SUMIFS(Лист2!$E:$E,Лист2!$B:$B,Лист1!$B379,Лист2!$A:$A,Лист1!$A379)</f>
        <v>370</v>
      </c>
      <c r="H379" s="14">
        <f t="shared" si="10"/>
        <v>42423</v>
      </c>
      <c r="I379">
        <f t="shared" si="11"/>
        <v>23</v>
      </c>
    </row>
    <row r="380" spans="1:9" ht="14.25" customHeight="1" x14ac:dyDescent="0.3">
      <c r="A380" s="5">
        <v>43982</v>
      </c>
      <c r="B380" s="6" t="s">
        <v>25</v>
      </c>
      <c r="C380" s="6">
        <v>6409.5</v>
      </c>
      <c r="D380" s="6">
        <v>493893</v>
      </c>
      <c r="E380" s="7">
        <f>SUMIFS(Лист2!C:C,Лист2!B:B,Лист1!B380,Лист2!A:A,Лист1!A380)</f>
        <v>9</v>
      </c>
      <c r="F380" s="7">
        <f>SUMIFS(Лист2!$D:$D,Лист2!$B:$B,Лист1!$B380,Лист2!$A:$A,Лист1!$A380)</f>
        <v>345</v>
      </c>
      <c r="G380" s="7">
        <f>SUMIFS(Лист2!$E:$E,Лист2!$B:$B,Лист1!$B380,Лист2!$A:$A,Лист1!$A380)</f>
        <v>255</v>
      </c>
      <c r="H380" s="14">
        <f t="shared" si="10"/>
        <v>54877</v>
      </c>
      <c r="I380">
        <f t="shared" si="11"/>
        <v>22</v>
      </c>
    </row>
    <row r="381" spans="1:9" ht="14.25" customHeight="1" x14ac:dyDescent="0.3">
      <c r="A381" s="8">
        <v>43981</v>
      </c>
      <c r="B381" s="9" t="s">
        <v>24</v>
      </c>
      <c r="C381" s="9">
        <v>11220</v>
      </c>
      <c r="D381" s="9">
        <v>928675.5</v>
      </c>
      <c r="E381" s="7">
        <f>SUMIFS(Лист2!C:C,Лист2!B:B,Лист1!B381,Лист2!A:A,Лист1!A381)</f>
        <v>7</v>
      </c>
      <c r="F381" s="7">
        <f>SUMIFS(Лист2!$D:$D,Лист2!$B:$B,Лист1!$B381,Лист2!$A:$A,Лист1!$A381)</f>
        <v>532</v>
      </c>
      <c r="G381" s="7">
        <f>SUMIFS(Лист2!$E:$E,Лист2!$B:$B,Лист1!$B381,Лист2!$A:$A,Лист1!$A381)</f>
        <v>449</v>
      </c>
      <c r="H381" s="14">
        <f t="shared" si="10"/>
        <v>132667.92857142858</v>
      </c>
      <c r="I381">
        <f t="shared" si="11"/>
        <v>22</v>
      </c>
    </row>
    <row r="382" spans="1:9" ht="14.25" customHeight="1" x14ac:dyDescent="0.3">
      <c r="A382" s="5">
        <v>43980</v>
      </c>
      <c r="B382" s="6" t="s">
        <v>9</v>
      </c>
      <c r="C382" s="6">
        <v>8350.5</v>
      </c>
      <c r="D382" s="6">
        <v>651237</v>
      </c>
      <c r="E382" s="7">
        <f>SUMIFS(Лист2!C:C,Лист2!B:B,Лист1!B382,Лист2!A:A,Лист1!A382)</f>
        <v>15</v>
      </c>
      <c r="F382" s="7">
        <f>SUMIFS(Лист2!$D:$D,Лист2!$B:$B,Лист1!$B382,Лист2!$A:$A,Лист1!$A382)</f>
        <v>400</v>
      </c>
      <c r="G382" s="7">
        <f>SUMIFS(Лист2!$E:$E,Лист2!$B:$B,Лист1!$B382,Лист2!$A:$A,Лист1!$A382)</f>
        <v>329</v>
      </c>
      <c r="H382" s="14">
        <f t="shared" si="10"/>
        <v>43415.8</v>
      </c>
      <c r="I382">
        <f t="shared" si="11"/>
        <v>22</v>
      </c>
    </row>
    <row r="383" spans="1:9" ht="14.25" customHeight="1" x14ac:dyDescent="0.3">
      <c r="A383" s="8">
        <v>43979</v>
      </c>
      <c r="B383" s="9" t="s">
        <v>24</v>
      </c>
      <c r="C383" s="9">
        <v>8428.5</v>
      </c>
      <c r="D383" s="9">
        <v>694669.5</v>
      </c>
      <c r="E383" s="7">
        <f>SUMIFS(Лист2!C:C,Лист2!B:B,Лист1!B383,Лист2!A:A,Лист1!A383)</f>
        <v>7</v>
      </c>
      <c r="F383" s="7">
        <f>SUMIFS(Лист2!$D:$D,Лист2!$B:$B,Лист1!$B383,Лист2!$A:$A,Лист1!$A383)</f>
        <v>420</v>
      </c>
      <c r="G383" s="7">
        <f>SUMIFS(Лист2!$E:$E,Лист2!$B:$B,Лист1!$B383,Лист2!$A:$A,Лист1!$A383)</f>
        <v>347</v>
      </c>
      <c r="H383" s="14">
        <f t="shared" si="10"/>
        <v>99238.5</v>
      </c>
      <c r="I383">
        <f t="shared" si="11"/>
        <v>22</v>
      </c>
    </row>
    <row r="384" spans="1:9" ht="14.25" customHeight="1" x14ac:dyDescent="0.3">
      <c r="A384" s="5">
        <v>43978</v>
      </c>
      <c r="B384" s="6" t="s">
        <v>10</v>
      </c>
      <c r="C384" s="6">
        <v>32817</v>
      </c>
      <c r="D384" s="6">
        <v>3015751.5</v>
      </c>
      <c r="E384" s="7">
        <f>SUMIFS(Лист2!C:C,Лист2!B:B,Лист1!B384,Лист2!A:A,Лист1!A384)</f>
        <v>20</v>
      </c>
      <c r="F384" s="7">
        <f>SUMIFS(Лист2!$D:$D,Лист2!$B:$B,Лист1!$B384,Лист2!$A:$A,Лист1!$A384)</f>
        <v>2079</v>
      </c>
      <c r="G384" s="7">
        <f>SUMIFS(Лист2!$E:$E,Лист2!$B:$B,Лист1!$B384,Лист2!$A:$A,Лист1!$A384)</f>
        <v>1893</v>
      </c>
      <c r="H384" s="14">
        <f t="shared" si="10"/>
        <v>150787.57500000001</v>
      </c>
      <c r="I384">
        <f t="shared" si="11"/>
        <v>22</v>
      </c>
    </row>
    <row r="385" spans="1:9" ht="14.25" customHeight="1" x14ac:dyDescent="0.3">
      <c r="A385" s="8">
        <v>43973</v>
      </c>
      <c r="B385" s="9" t="s">
        <v>10</v>
      </c>
      <c r="C385" s="9">
        <v>36031.5</v>
      </c>
      <c r="D385" s="9">
        <v>3091069.5</v>
      </c>
      <c r="E385" s="7">
        <f>SUMIFS(Лист2!C:C,Лист2!B:B,Лист1!B385,Лист2!A:A,Лист1!A385)</f>
        <v>21</v>
      </c>
      <c r="F385" s="7">
        <f>SUMIFS(Лист2!$D:$D,Лист2!$B:$B,Лист1!$B385,Лист2!$A:$A,Лист1!$A385)</f>
        <v>2046</v>
      </c>
      <c r="G385" s="7">
        <f>SUMIFS(Лист2!$E:$E,Лист2!$B:$B,Лист1!$B385,Лист2!$A:$A,Лист1!$A385)</f>
        <v>1853</v>
      </c>
      <c r="H385" s="14">
        <f t="shared" si="10"/>
        <v>147193.78571428571</v>
      </c>
      <c r="I385">
        <f t="shared" si="11"/>
        <v>21</v>
      </c>
    </row>
    <row r="386" spans="1:9" ht="14.25" customHeight="1" x14ac:dyDescent="0.3">
      <c r="A386" s="5">
        <v>43982</v>
      </c>
      <c r="B386" s="6" t="s">
        <v>26</v>
      </c>
      <c r="C386" s="6">
        <v>5127</v>
      </c>
      <c r="D386" s="6">
        <v>468835.5</v>
      </c>
      <c r="E386" s="7">
        <f>SUMIFS(Лист2!C:C,Лист2!B:B,Лист1!B386,Лист2!A:A,Лист1!A386)</f>
        <v>6</v>
      </c>
      <c r="F386" s="7">
        <f>SUMIFS(Лист2!$D:$D,Лист2!$B:$B,Лист1!$B386,Лист2!$A:$A,Лист1!$A386)</f>
        <v>261</v>
      </c>
      <c r="G386" s="7">
        <f>SUMIFS(Лист2!$E:$E,Лист2!$B:$B,Лист1!$B386,Лист2!$A:$A,Лист1!$A386)</f>
        <v>188</v>
      </c>
      <c r="H386" s="14">
        <f t="shared" si="10"/>
        <v>78139.25</v>
      </c>
      <c r="I386">
        <f t="shared" si="11"/>
        <v>22</v>
      </c>
    </row>
    <row r="387" spans="1:9" ht="14.25" customHeight="1" x14ac:dyDescent="0.3">
      <c r="A387" s="8">
        <v>43962</v>
      </c>
      <c r="B387" s="9" t="s">
        <v>10</v>
      </c>
      <c r="C387" s="9">
        <v>27187.5</v>
      </c>
      <c r="D387" s="9">
        <v>2479396.5</v>
      </c>
      <c r="E387" s="7">
        <f>SUMIFS(Лист2!C:C,Лист2!B:B,Лист1!B387,Лист2!A:A,Лист1!A387)</f>
        <v>21</v>
      </c>
      <c r="F387" s="7">
        <f>SUMIFS(Лист2!$D:$D,Лист2!$B:$B,Лист1!$B387,Лист2!$A:$A,Лист1!$A387)</f>
        <v>1597</v>
      </c>
      <c r="G387" s="7">
        <f>SUMIFS(Лист2!$E:$E,Лист2!$B:$B,Лист1!$B387,Лист2!$A:$A,Лист1!$A387)</f>
        <v>1457</v>
      </c>
      <c r="H387" s="14">
        <f t="shared" ref="H387:H450" si="12">D387/E387</f>
        <v>118066.5</v>
      </c>
      <c r="I387">
        <f t="shared" ref="I387:I450" si="13">WEEKNUM(A387,2)</f>
        <v>20</v>
      </c>
    </row>
    <row r="388" spans="1:9" ht="14.25" customHeight="1" x14ac:dyDescent="0.3">
      <c r="A388" s="5">
        <v>43981</v>
      </c>
      <c r="B388" s="6" t="s">
        <v>23</v>
      </c>
      <c r="C388" s="6">
        <v>20688</v>
      </c>
      <c r="D388" s="6">
        <v>1773154.5</v>
      </c>
      <c r="E388" s="7">
        <f>SUMIFS(Лист2!C:C,Лист2!B:B,Лист1!B388,Лист2!A:A,Лист1!A388)</f>
        <v>18</v>
      </c>
      <c r="F388" s="7">
        <f>SUMIFS(Лист2!$D:$D,Лист2!$B:$B,Лист1!$B388,Лист2!$A:$A,Лист1!$A388)</f>
        <v>1216</v>
      </c>
      <c r="G388" s="7">
        <f>SUMIFS(Лист2!$E:$E,Лист2!$B:$B,Лист1!$B388,Лист2!$A:$A,Лист1!$A388)</f>
        <v>1101</v>
      </c>
      <c r="H388" s="14">
        <f t="shared" si="12"/>
        <v>98508.583333333328</v>
      </c>
      <c r="I388">
        <f t="shared" si="13"/>
        <v>22</v>
      </c>
    </row>
    <row r="389" spans="1:9" ht="14.25" customHeight="1" x14ac:dyDescent="0.3">
      <c r="A389" s="8">
        <v>43979</v>
      </c>
      <c r="B389" s="9" t="s">
        <v>23</v>
      </c>
      <c r="C389" s="9">
        <v>15678</v>
      </c>
      <c r="D389" s="9">
        <v>1387443</v>
      </c>
      <c r="E389" s="7">
        <f>SUMIFS(Лист2!C:C,Лист2!B:B,Лист1!B389,Лист2!A:A,Лист1!A389)</f>
        <v>18</v>
      </c>
      <c r="F389" s="7">
        <f>SUMIFS(Лист2!$D:$D,Лист2!$B:$B,Лист1!$B389,Лист2!$A:$A,Лист1!$A389)</f>
        <v>1020</v>
      </c>
      <c r="G389" s="7">
        <f>SUMIFS(Лист2!$E:$E,Лист2!$B:$B,Лист1!$B389,Лист2!$A:$A,Лист1!$A389)</f>
        <v>911</v>
      </c>
      <c r="H389" s="14">
        <f t="shared" si="12"/>
        <v>77080.166666666672</v>
      </c>
      <c r="I389">
        <f t="shared" si="13"/>
        <v>22</v>
      </c>
    </row>
    <row r="390" spans="1:9" ht="14.25" customHeight="1" x14ac:dyDescent="0.3">
      <c r="A390" s="5">
        <v>43969</v>
      </c>
      <c r="B390" s="6" t="s">
        <v>10</v>
      </c>
      <c r="C390" s="6">
        <v>31329</v>
      </c>
      <c r="D390" s="6">
        <v>2826379.5</v>
      </c>
      <c r="E390" s="7">
        <f>SUMIFS(Лист2!C:C,Лист2!B:B,Лист1!B390,Лист2!A:A,Лист1!A390)</f>
        <v>21</v>
      </c>
      <c r="F390" s="7">
        <f>SUMIFS(Лист2!$D:$D,Лист2!$B:$B,Лист1!$B390,Лист2!$A:$A,Лист1!$A390)</f>
        <v>1834</v>
      </c>
      <c r="G390" s="7">
        <f>SUMIFS(Лист2!$E:$E,Лист2!$B:$B,Лист1!$B390,Лист2!$A:$A,Лист1!$A390)</f>
        <v>1660</v>
      </c>
      <c r="H390" s="14">
        <f t="shared" si="12"/>
        <v>134589.5</v>
      </c>
      <c r="I390">
        <f t="shared" si="13"/>
        <v>21</v>
      </c>
    </row>
    <row r="391" spans="1:9" ht="14.25" customHeight="1" x14ac:dyDescent="0.3">
      <c r="A391" s="8">
        <v>43965</v>
      </c>
      <c r="B391" s="9" t="s">
        <v>10</v>
      </c>
      <c r="C391" s="9">
        <v>29658</v>
      </c>
      <c r="D391" s="9">
        <v>2703132</v>
      </c>
      <c r="E391" s="7">
        <f>SUMIFS(Лист2!C:C,Лист2!B:B,Лист1!B391,Лист2!A:A,Лист1!A391)</f>
        <v>21</v>
      </c>
      <c r="F391" s="7">
        <f>SUMIFS(Лист2!$D:$D,Лист2!$B:$B,Лист1!$B391,Лист2!$A:$A,Лист1!$A391)</f>
        <v>1706</v>
      </c>
      <c r="G391" s="7">
        <f>SUMIFS(Лист2!$E:$E,Лист2!$B:$B,Лист1!$B391,Лист2!$A:$A,Лист1!$A391)</f>
        <v>1548</v>
      </c>
      <c r="H391" s="14">
        <f t="shared" si="12"/>
        <v>128720.57142857143</v>
      </c>
      <c r="I391">
        <f t="shared" si="13"/>
        <v>20</v>
      </c>
    </row>
    <row r="392" spans="1:9" ht="14.25" customHeight="1" x14ac:dyDescent="0.3">
      <c r="A392" s="5">
        <v>43966</v>
      </c>
      <c r="B392" s="6" t="s">
        <v>10</v>
      </c>
      <c r="C392" s="6">
        <v>34150.5</v>
      </c>
      <c r="D392" s="6">
        <v>3038293.5</v>
      </c>
      <c r="E392" s="7">
        <f>SUMIFS(Лист2!C:C,Лист2!B:B,Лист1!B392,Лист2!A:A,Лист1!A392)</f>
        <v>21</v>
      </c>
      <c r="F392" s="7">
        <f>SUMIFS(Лист2!$D:$D,Лист2!$B:$B,Лист1!$B392,Лист2!$A:$A,Лист1!$A392)</f>
        <v>1926</v>
      </c>
      <c r="G392" s="7">
        <f>SUMIFS(Лист2!$E:$E,Лист2!$B:$B,Лист1!$B392,Лист2!$A:$A,Лист1!$A392)</f>
        <v>1742</v>
      </c>
      <c r="H392" s="14">
        <f t="shared" si="12"/>
        <v>144680.64285714287</v>
      </c>
      <c r="I392">
        <f t="shared" si="13"/>
        <v>20</v>
      </c>
    </row>
    <row r="393" spans="1:9" ht="14.25" customHeight="1" x14ac:dyDescent="0.3">
      <c r="A393" s="8">
        <v>43983</v>
      </c>
      <c r="B393" s="9" t="s">
        <v>10</v>
      </c>
      <c r="C393" s="9">
        <v>31947</v>
      </c>
      <c r="D393" s="9">
        <v>2945035.5</v>
      </c>
      <c r="E393" s="7">
        <f>SUMIFS(Лист2!C:C,Лист2!B:B,Лист1!B393,Лист2!A:A,Лист1!A393)</f>
        <v>21</v>
      </c>
      <c r="F393" s="7">
        <f>SUMIFS(Лист2!$D:$D,Лист2!$B:$B,Лист1!$B393,Лист2!$A:$A,Лист1!$A393)</f>
        <v>2025</v>
      </c>
      <c r="G393" s="7">
        <f>SUMIFS(Лист2!$E:$E,Лист2!$B:$B,Лист1!$B393,Лист2!$A:$A,Лист1!$A393)</f>
        <v>1849</v>
      </c>
      <c r="H393" s="14">
        <f t="shared" si="12"/>
        <v>140239.78571428571</v>
      </c>
      <c r="I393">
        <f t="shared" si="13"/>
        <v>23</v>
      </c>
    </row>
    <row r="394" spans="1:9" ht="14.25" customHeight="1" x14ac:dyDescent="0.3">
      <c r="A394" s="5">
        <v>43982</v>
      </c>
      <c r="B394" s="6" t="s">
        <v>24</v>
      </c>
      <c r="C394" s="6">
        <v>10416</v>
      </c>
      <c r="D394" s="6">
        <v>866023.5</v>
      </c>
      <c r="E394" s="7">
        <f>SUMIFS(Лист2!C:C,Лист2!B:B,Лист1!B394,Лист2!A:A,Лист1!A394)</f>
        <v>7</v>
      </c>
      <c r="F394" s="7">
        <f>SUMIFS(Лист2!$D:$D,Лист2!$B:$B,Лист1!$B394,Лист2!$A:$A,Лист1!$A394)</f>
        <v>530</v>
      </c>
      <c r="G394" s="7">
        <f>SUMIFS(Лист2!$E:$E,Лист2!$B:$B,Лист1!$B394,Лист2!$A:$A,Лист1!$A394)</f>
        <v>447</v>
      </c>
      <c r="H394" s="14">
        <f t="shared" si="12"/>
        <v>123717.64285714286</v>
      </c>
      <c r="I394">
        <f t="shared" si="13"/>
        <v>22</v>
      </c>
    </row>
    <row r="395" spans="1:9" ht="14.25" customHeight="1" x14ac:dyDescent="0.3">
      <c r="A395" s="8">
        <v>43980</v>
      </c>
      <c r="B395" s="9" t="s">
        <v>10</v>
      </c>
      <c r="C395" s="9">
        <v>35431.5</v>
      </c>
      <c r="D395" s="9">
        <v>3193167</v>
      </c>
      <c r="E395" s="7">
        <f>SUMIFS(Лист2!C:C,Лист2!B:B,Лист1!B395,Лист2!A:A,Лист1!A395)</f>
        <v>20</v>
      </c>
      <c r="F395" s="7">
        <f>SUMIFS(Лист2!$D:$D,Лист2!$B:$B,Лист1!$B395,Лист2!$A:$A,Лист1!$A395)</f>
        <v>2111</v>
      </c>
      <c r="G395" s="7">
        <f>SUMIFS(Лист2!$E:$E,Лист2!$B:$B,Лист1!$B395,Лист2!$A:$A,Лист1!$A395)</f>
        <v>1917</v>
      </c>
      <c r="H395" s="14">
        <f t="shared" si="12"/>
        <v>159658.35</v>
      </c>
      <c r="I395">
        <f t="shared" si="13"/>
        <v>22</v>
      </c>
    </row>
    <row r="396" spans="1:9" ht="14.25" customHeight="1" x14ac:dyDescent="0.3">
      <c r="A396" s="5">
        <v>43978</v>
      </c>
      <c r="B396" s="6" t="s">
        <v>11</v>
      </c>
      <c r="C396" s="6">
        <v>78544.5</v>
      </c>
      <c r="D396" s="6">
        <v>6701083.5</v>
      </c>
      <c r="E396" s="7">
        <f>SUMIFS(Лист2!C:C,Лист2!B:B,Лист1!B396,Лист2!A:A,Лист1!A396)</f>
        <v>31</v>
      </c>
      <c r="F396" s="7">
        <f>SUMIFS(Лист2!$D:$D,Лист2!$B:$B,Лист1!$B396,Лист2!$A:$A,Лист1!$A396)</f>
        <v>5330</v>
      </c>
      <c r="G396" s="7">
        <f>SUMIFS(Лист2!$E:$E,Лист2!$B:$B,Лист1!$B396,Лист2!$A:$A,Лист1!$A396)</f>
        <v>4977</v>
      </c>
      <c r="H396" s="14">
        <f t="shared" si="12"/>
        <v>216163.98387096773</v>
      </c>
      <c r="I396">
        <f t="shared" si="13"/>
        <v>22</v>
      </c>
    </row>
    <row r="397" spans="1:9" ht="14.25" customHeight="1" x14ac:dyDescent="0.3">
      <c r="A397" s="8">
        <v>43973</v>
      </c>
      <c r="B397" s="9" t="s">
        <v>11</v>
      </c>
      <c r="C397" s="9">
        <v>97963.5</v>
      </c>
      <c r="D397" s="9">
        <v>7728465</v>
      </c>
      <c r="E397" s="7">
        <f>SUMIFS(Лист2!C:C,Лист2!B:B,Лист1!B397,Лист2!A:A,Лист1!A397)</f>
        <v>31</v>
      </c>
      <c r="F397" s="7">
        <f>SUMIFS(Лист2!$D:$D,Лист2!$B:$B,Лист1!$B397,Лист2!$A:$A,Лист1!$A397)</f>
        <v>5965</v>
      </c>
      <c r="G397" s="7">
        <f>SUMIFS(Лист2!$E:$E,Лист2!$B:$B,Лист1!$B397,Лист2!$A:$A,Лист1!$A397)</f>
        <v>5533</v>
      </c>
      <c r="H397" s="14">
        <f t="shared" si="12"/>
        <v>249305.32258064515</v>
      </c>
      <c r="I397">
        <f t="shared" si="13"/>
        <v>21</v>
      </c>
    </row>
    <row r="398" spans="1:9" ht="14.25" customHeight="1" x14ac:dyDescent="0.3">
      <c r="A398" s="5">
        <v>43983</v>
      </c>
      <c r="B398" s="6" t="s">
        <v>11</v>
      </c>
      <c r="C398" s="6">
        <v>77269.5</v>
      </c>
      <c r="D398" s="6">
        <v>6829921.5</v>
      </c>
      <c r="E398" s="7">
        <f>SUMIFS(Лист2!C:C,Лист2!B:B,Лист1!B398,Лист2!A:A,Лист1!A398)</f>
        <v>31</v>
      </c>
      <c r="F398" s="7">
        <f>SUMIFS(Лист2!$D:$D,Лист2!$B:$B,Лист1!$B398,Лист2!$A:$A,Лист1!$A398)</f>
        <v>5468</v>
      </c>
      <c r="G398" s="7">
        <f>SUMIFS(Лист2!$E:$E,Лист2!$B:$B,Лист1!$B398,Лист2!$A:$A,Лист1!$A398)</f>
        <v>5081</v>
      </c>
      <c r="H398" s="14">
        <f t="shared" si="12"/>
        <v>220320.04838709679</v>
      </c>
      <c r="I398">
        <f t="shared" si="13"/>
        <v>23</v>
      </c>
    </row>
    <row r="399" spans="1:9" ht="14.25" customHeight="1" x14ac:dyDescent="0.3">
      <c r="A399" s="8">
        <v>43982</v>
      </c>
      <c r="B399" s="9" t="s">
        <v>23</v>
      </c>
      <c r="C399" s="9">
        <v>16143</v>
      </c>
      <c r="D399" s="9">
        <v>1423410</v>
      </c>
      <c r="E399" s="7">
        <f>SUMIFS(Лист2!C:C,Лист2!B:B,Лист1!B399,Лист2!A:A,Лист1!A399)</f>
        <v>18</v>
      </c>
      <c r="F399" s="7">
        <f>SUMIFS(Лист2!$D:$D,Лист2!$B:$B,Лист1!$B399,Лист2!$A:$A,Лист1!$A399)</f>
        <v>1029</v>
      </c>
      <c r="G399" s="7">
        <f>SUMIFS(Лист2!$E:$E,Лист2!$B:$B,Лист1!$B399,Лист2!$A:$A,Лист1!$A399)</f>
        <v>925</v>
      </c>
      <c r="H399" s="14">
        <f t="shared" si="12"/>
        <v>79078.333333333328</v>
      </c>
      <c r="I399">
        <f t="shared" si="13"/>
        <v>22</v>
      </c>
    </row>
    <row r="400" spans="1:9" ht="14.25" customHeight="1" x14ac:dyDescent="0.3">
      <c r="A400" s="5">
        <v>43962</v>
      </c>
      <c r="B400" s="6" t="s">
        <v>11</v>
      </c>
      <c r="C400" s="6">
        <v>72220.5</v>
      </c>
      <c r="D400" s="6">
        <v>6398719.5</v>
      </c>
      <c r="E400" s="7">
        <f>SUMIFS(Лист2!C:C,Лист2!B:B,Лист1!B400,Лист2!A:A,Лист1!A400)</f>
        <v>31</v>
      </c>
      <c r="F400" s="7">
        <f>SUMIFS(Лист2!$D:$D,Лист2!$B:$B,Лист1!$B400,Лист2!$A:$A,Лист1!$A400)</f>
        <v>4826</v>
      </c>
      <c r="G400" s="7">
        <f>SUMIFS(Лист2!$E:$E,Лист2!$B:$B,Лист1!$B400,Лист2!$A:$A,Лист1!$A400)</f>
        <v>4483</v>
      </c>
      <c r="H400" s="14">
        <f t="shared" si="12"/>
        <v>206410.30645161291</v>
      </c>
      <c r="I400">
        <f t="shared" si="13"/>
        <v>20</v>
      </c>
    </row>
    <row r="401" spans="1:9" ht="14.25" customHeight="1" x14ac:dyDescent="0.3">
      <c r="A401" s="8">
        <v>43969</v>
      </c>
      <c r="B401" s="9" t="s">
        <v>11</v>
      </c>
      <c r="C401" s="9">
        <v>78058.5</v>
      </c>
      <c r="D401" s="9">
        <v>6609714</v>
      </c>
      <c r="E401" s="7">
        <f>SUMIFS(Лист2!C:C,Лист2!B:B,Лист1!B401,Лист2!A:A,Лист1!A401)</f>
        <v>31</v>
      </c>
      <c r="F401" s="7">
        <f>SUMIFS(Лист2!$D:$D,Лист2!$B:$B,Лист1!$B401,Лист2!$A:$A,Лист1!$A401)</f>
        <v>5165</v>
      </c>
      <c r="G401" s="7">
        <f>SUMIFS(Лист2!$E:$E,Лист2!$B:$B,Лист1!$B401,Лист2!$A:$A,Лист1!$A401)</f>
        <v>4813</v>
      </c>
      <c r="H401" s="14">
        <f t="shared" si="12"/>
        <v>213216.5806451613</v>
      </c>
      <c r="I401">
        <f t="shared" si="13"/>
        <v>21</v>
      </c>
    </row>
    <row r="402" spans="1:9" ht="14.25" customHeight="1" x14ac:dyDescent="0.3">
      <c r="A402" s="5">
        <v>43965</v>
      </c>
      <c r="B402" s="6" t="s">
        <v>11</v>
      </c>
      <c r="C402" s="6">
        <v>70498.5</v>
      </c>
      <c r="D402" s="6">
        <v>6053649</v>
      </c>
      <c r="E402" s="7">
        <f>SUMIFS(Лист2!C:C,Лист2!B:B,Лист1!B402,Лист2!A:A,Лист1!A402)</f>
        <v>31</v>
      </c>
      <c r="F402" s="7">
        <f>SUMIFS(Лист2!$D:$D,Лист2!$B:$B,Лист1!$B402,Лист2!$A:$A,Лист1!$A402)</f>
        <v>4695</v>
      </c>
      <c r="G402" s="7">
        <f>SUMIFS(Лист2!$E:$E,Лист2!$B:$B,Лист1!$B402,Лист2!$A:$A,Лист1!$A402)</f>
        <v>4372</v>
      </c>
      <c r="H402" s="14">
        <f t="shared" si="12"/>
        <v>195279</v>
      </c>
      <c r="I402">
        <f t="shared" si="13"/>
        <v>20</v>
      </c>
    </row>
    <row r="403" spans="1:9" ht="14.25" customHeight="1" x14ac:dyDescent="0.3">
      <c r="A403" s="8">
        <v>43966</v>
      </c>
      <c r="B403" s="9" t="s">
        <v>11</v>
      </c>
      <c r="C403" s="9">
        <v>78961.5</v>
      </c>
      <c r="D403" s="9">
        <v>6876454.5</v>
      </c>
      <c r="E403" s="7">
        <f>SUMIFS(Лист2!C:C,Лист2!B:B,Лист1!B403,Лист2!A:A,Лист1!A403)</f>
        <v>31</v>
      </c>
      <c r="F403" s="7">
        <f>SUMIFS(Лист2!$D:$D,Лист2!$B:$B,Лист1!$B403,Лист2!$A:$A,Лист1!$A403)</f>
        <v>5184</v>
      </c>
      <c r="G403" s="7">
        <f>SUMIFS(Лист2!$E:$E,Лист2!$B:$B,Лист1!$B403,Лист2!$A:$A,Лист1!$A403)</f>
        <v>4778</v>
      </c>
      <c r="H403" s="14">
        <f t="shared" si="12"/>
        <v>221821.11290322582</v>
      </c>
      <c r="I403">
        <f t="shared" si="13"/>
        <v>20</v>
      </c>
    </row>
    <row r="404" spans="1:9" ht="14.25" customHeight="1" x14ac:dyDescent="0.3">
      <c r="A404" s="5">
        <v>43978</v>
      </c>
      <c r="B404" s="6" t="s">
        <v>12</v>
      </c>
      <c r="C404" s="6">
        <v>12490.5</v>
      </c>
      <c r="D404" s="6">
        <v>1054798.5</v>
      </c>
      <c r="E404" s="7">
        <f>SUMIFS(Лист2!C:C,Лист2!B:B,Лист1!B404,Лист2!A:A,Лист1!A404)</f>
        <v>10</v>
      </c>
      <c r="F404" s="7">
        <f>SUMIFS(Лист2!$D:$D,Лист2!$B:$B,Лист1!$B404,Лист2!$A:$A,Лист1!$A404)</f>
        <v>757</v>
      </c>
      <c r="G404" s="7">
        <f>SUMIFS(Лист2!$E:$E,Лист2!$B:$B,Лист1!$B404,Лист2!$A:$A,Лист1!$A404)</f>
        <v>660</v>
      </c>
      <c r="H404" s="14">
        <f t="shared" si="12"/>
        <v>105479.85</v>
      </c>
      <c r="I404">
        <f t="shared" si="13"/>
        <v>22</v>
      </c>
    </row>
    <row r="405" spans="1:9" ht="14.25" customHeight="1" x14ac:dyDescent="0.3">
      <c r="A405" s="8">
        <v>43973</v>
      </c>
      <c r="B405" s="9" t="s">
        <v>12</v>
      </c>
      <c r="C405" s="9">
        <v>18036</v>
      </c>
      <c r="D405" s="9">
        <v>1455049.5</v>
      </c>
      <c r="E405" s="7">
        <f>SUMIFS(Лист2!C:C,Лист2!B:B,Лист1!B405,Лист2!A:A,Лист1!A405)</f>
        <v>10</v>
      </c>
      <c r="F405" s="7">
        <f>SUMIFS(Лист2!$D:$D,Лист2!$B:$B,Лист1!$B405,Лист2!$A:$A,Лист1!$A405)</f>
        <v>965</v>
      </c>
      <c r="G405" s="7">
        <f>SUMIFS(Лист2!$E:$E,Лист2!$B:$B,Лист1!$B405,Лист2!$A:$A,Лист1!$A405)</f>
        <v>861</v>
      </c>
      <c r="H405" s="14">
        <f t="shared" si="12"/>
        <v>145504.95000000001</v>
      </c>
      <c r="I405">
        <f t="shared" si="13"/>
        <v>21</v>
      </c>
    </row>
    <row r="406" spans="1:9" ht="14.25" customHeight="1" x14ac:dyDescent="0.3">
      <c r="A406" s="5">
        <v>43983</v>
      </c>
      <c r="B406" s="6" t="s">
        <v>12</v>
      </c>
      <c r="C406" s="6">
        <v>11416.5</v>
      </c>
      <c r="D406" s="6">
        <v>1007742</v>
      </c>
      <c r="E406" s="7">
        <f>SUMIFS(Лист2!C:C,Лист2!B:B,Лист1!B406,Лист2!A:A,Лист1!A406)</f>
        <v>10</v>
      </c>
      <c r="F406" s="7">
        <f>SUMIFS(Лист2!$D:$D,Лист2!$B:$B,Лист1!$B406,Лист2!$A:$A,Лист1!$A406)</f>
        <v>719</v>
      </c>
      <c r="G406" s="7">
        <f>SUMIFS(Лист2!$E:$E,Лист2!$B:$B,Лист1!$B406,Лист2!$A:$A,Лист1!$A406)</f>
        <v>627</v>
      </c>
      <c r="H406" s="14">
        <f t="shared" si="12"/>
        <v>100774.2</v>
      </c>
      <c r="I406">
        <f t="shared" si="13"/>
        <v>23</v>
      </c>
    </row>
    <row r="407" spans="1:9" ht="14.25" customHeight="1" x14ac:dyDescent="0.3">
      <c r="A407" s="8">
        <v>43962</v>
      </c>
      <c r="B407" s="9" t="s">
        <v>12</v>
      </c>
      <c r="C407" s="9">
        <v>9007.5</v>
      </c>
      <c r="D407" s="9">
        <v>734335.5</v>
      </c>
      <c r="E407" s="7">
        <f>SUMIFS(Лист2!C:C,Лист2!B:B,Лист1!B407,Лист2!A:A,Лист1!A407)</f>
        <v>10</v>
      </c>
      <c r="F407" s="7">
        <f>SUMIFS(Лист2!$D:$D,Лист2!$B:$B,Лист1!$B407,Лист2!$A:$A,Лист1!$A407)</f>
        <v>494</v>
      </c>
      <c r="G407" s="7">
        <f>SUMIFS(Лист2!$E:$E,Лист2!$B:$B,Лист1!$B407,Лист2!$A:$A,Лист1!$A407)</f>
        <v>421</v>
      </c>
      <c r="H407" s="14">
        <f t="shared" si="12"/>
        <v>73433.55</v>
      </c>
      <c r="I407">
        <f t="shared" si="13"/>
        <v>20</v>
      </c>
    </row>
    <row r="408" spans="1:9" ht="14.25" customHeight="1" x14ac:dyDescent="0.3">
      <c r="A408" s="5">
        <v>43980</v>
      </c>
      <c r="B408" s="6" t="s">
        <v>11</v>
      </c>
      <c r="C408" s="6">
        <v>87552</v>
      </c>
      <c r="D408" s="6">
        <v>7387116</v>
      </c>
      <c r="E408" s="7">
        <f>SUMIFS(Лист2!C:C,Лист2!B:B,Лист1!B408,Лист2!A:A,Лист1!A408)</f>
        <v>31</v>
      </c>
      <c r="F408" s="7">
        <f>SUMIFS(Лист2!$D:$D,Лист2!$B:$B,Лист1!$B408,Лист2!$A:$A,Лист1!$A408)</f>
        <v>5751</v>
      </c>
      <c r="G408" s="7">
        <f>SUMIFS(Лист2!$E:$E,Лист2!$B:$B,Лист1!$B408,Лист2!$A:$A,Лист1!$A408)</f>
        <v>5319</v>
      </c>
      <c r="H408" s="14">
        <f t="shared" si="12"/>
        <v>238294.06451612903</v>
      </c>
      <c r="I408">
        <f t="shared" si="13"/>
        <v>22</v>
      </c>
    </row>
    <row r="409" spans="1:9" ht="14.25" customHeight="1" x14ac:dyDescent="0.3">
      <c r="A409" s="8">
        <v>43969</v>
      </c>
      <c r="B409" s="9" t="s">
        <v>12</v>
      </c>
      <c r="C409" s="9">
        <v>11680.5</v>
      </c>
      <c r="D409" s="9">
        <v>936427.5</v>
      </c>
      <c r="E409" s="7">
        <f>SUMIFS(Лист2!C:C,Лист2!B:B,Лист1!B409,Лист2!A:A,Лист1!A409)</f>
        <v>10</v>
      </c>
      <c r="F409" s="7">
        <f>SUMIFS(Лист2!$D:$D,Лист2!$B:$B,Лист1!$B409,Лист2!$A:$A,Лист1!$A409)</f>
        <v>645</v>
      </c>
      <c r="G409" s="7">
        <f>SUMIFS(Лист2!$E:$E,Лист2!$B:$B,Лист1!$B409,Лист2!$A:$A,Лист1!$A409)</f>
        <v>565</v>
      </c>
      <c r="H409" s="14">
        <f t="shared" si="12"/>
        <v>93642.75</v>
      </c>
      <c r="I409">
        <f t="shared" si="13"/>
        <v>21</v>
      </c>
    </row>
    <row r="410" spans="1:9" ht="14.25" customHeight="1" x14ac:dyDescent="0.3">
      <c r="A410" s="5">
        <v>43965</v>
      </c>
      <c r="B410" s="6" t="s">
        <v>12</v>
      </c>
      <c r="C410" s="6">
        <v>12037.5</v>
      </c>
      <c r="D410" s="6">
        <v>981564</v>
      </c>
      <c r="E410" s="7">
        <f>SUMIFS(Лист2!C:C,Лист2!B:B,Лист1!B410,Лист2!A:A,Лист1!A410)</f>
        <v>10</v>
      </c>
      <c r="F410" s="7">
        <f>SUMIFS(Лист2!$D:$D,Лист2!$B:$B,Лист1!$B410,Лист2!$A:$A,Лист1!$A410)</f>
        <v>627</v>
      </c>
      <c r="G410" s="7">
        <f>SUMIFS(Лист2!$E:$E,Лист2!$B:$B,Лист1!$B410,Лист2!$A:$A,Лист1!$A410)</f>
        <v>545</v>
      </c>
      <c r="H410" s="14">
        <f t="shared" si="12"/>
        <v>98156.4</v>
      </c>
      <c r="I410">
        <f t="shared" si="13"/>
        <v>20</v>
      </c>
    </row>
    <row r="411" spans="1:9" ht="14.25" customHeight="1" x14ac:dyDescent="0.3">
      <c r="A411" s="8">
        <v>43966</v>
      </c>
      <c r="B411" s="9" t="s">
        <v>12</v>
      </c>
      <c r="C411" s="9">
        <v>14421</v>
      </c>
      <c r="D411" s="9">
        <v>1150579.5</v>
      </c>
      <c r="E411" s="7">
        <f>SUMIFS(Лист2!C:C,Лист2!B:B,Лист1!B411,Лист2!A:A,Лист1!A411)</f>
        <v>10</v>
      </c>
      <c r="F411" s="7">
        <f>SUMIFS(Лист2!$D:$D,Лист2!$B:$B,Лист1!$B411,Лист2!$A:$A,Лист1!$A411)</f>
        <v>743</v>
      </c>
      <c r="G411" s="7">
        <f>SUMIFS(Лист2!$E:$E,Лист2!$B:$B,Лист1!$B411,Лист2!$A:$A,Лист1!$A411)</f>
        <v>652</v>
      </c>
      <c r="H411" s="14">
        <f t="shared" si="12"/>
        <v>115057.95</v>
      </c>
      <c r="I411">
        <f t="shared" si="13"/>
        <v>20</v>
      </c>
    </row>
    <row r="412" spans="1:9" ht="14.25" customHeight="1" x14ac:dyDescent="0.3">
      <c r="A412" s="5">
        <v>43980</v>
      </c>
      <c r="B412" s="6" t="s">
        <v>12</v>
      </c>
      <c r="C412" s="6">
        <v>14823</v>
      </c>
      <c r="D412" s="6">
        <v>1273464</v>
      </c>
      <c r="E412" s="7">
        <f>SUMIFS(Лист2!C:C,Лист2!B:B,Лист1!B412,Лист2!A:A,Лист1!A412)</f>
        <v>10</v>
      </c>
      <c r="F412" s="7">
        <f>SUMIFS(Лист2!$D:$D,Лист2!$B:$B,Лист1!$B412,Лист2!$A:$A,Лист1!$A412)</f>
        <v>873</v>
      </c>
      <c r="G412" s="7">
        <f>SUMIFS(Лист2!$E:$E,Лист2!$B:$B,Лист1!$B412,Лист2!$A:$A,Лист1!$A412)</f>
        <v>770</v>
      </c>
      <c r="H412" s="14">
        <f t="shared" si="12"/>
        <v>127346.4</v>
      </c>
      <c r="I412">
        <f t="shared" si="13"/>
        <v>22</v>
      </c>
    </row>
    <row r="413" spans="1:9" ht="14.25" customHeight="1" x14ac:dyDescent="0.3">
      <c r="A413" s="8">
        <v>43978</v>
      </c>
      <c r="B413" s="9" t="s">
        <v>13</v>
      </c>
      <c r="C413" s="9">
        <v>31257</v>
      </c>
      <c r="D413" s="9">
        <v>2924133</v>
      </c>
      <c r="E413" s="7">
        <f>SUMIFS(Лист2!C:C,Лист2!B:B,Лист1!B413,Лист2!A:A,Лист1!A413)</f>
        <v>20</v>
      </c>
      <c r="F413" s="7">
        <f>SUMIFS(Лист2!$D:$D,Лист2!$B:$B,Лист1!$B413,Лист2!$A:$A,Лист1!$A413)</f>
        <v>2079</v>
      </c>
      <c r="G413" s="7">
        <f>SUMIFS(Лист2!$E:$E,Лист2!$B:$B,Лист1!$B413,Лист2!$A:$A,Лист1!$A413)</f>
        <v>1856</v>
      </c>
      <c r="H413" s="14">
        <f t="shared" si="12"/>
        <v>146206.65</v>
      </c>
      <c r="I413">
        <f t="shared" si="13"/>
        <v>22</v>
      </c>
    </row>
    <row r="414" spans="1:9" ht="14.25" customHeight="1" x14ac:dyDescent="0.3">
      <c r="A414" s="5">
        <v>43973</v>
      </c>
      <c r="B414" s="6" t="s">
        <v>13</v>
      </c>
      <c r="C414" s="6">
        <v>38074.5</v>
      </c>
      <c r="D414" s="6">
        <v>3414180</v>
      </c>
      <c r="E414" s="7">
        <f>SUMIFS(Лист2!C:C,Лист2!B:B,Лист1!B414,Лист2!A:A,Лист1!A414)</f>
        <v>20</v>
      </c>
      <c r="F414" s="7">
        <f>SUMIFS(Лист2!$D:$D,Лист2!$B:$B,Лист1!$B414,Лист2!$A:$A,Лист1!$A414)</f>
        <v>2306</v>
      </c>
      <c r="G414" s="7">
        <f>SUMIFS(Лист2!$E:$E,Лист2!$B:$B,Лист1!$B414,Лист2!$A:$A,Лист1!$A414)</f>
        <v>2054</v>
      </c>
      <c r="H414" s="14">
        <f t="shared" si="12"/>
        <v>170709</v>
      </c>
      <c r="I414">
        <f t="shared" si="13"/>
        <v>21</v>
      </c>
    </row>
    <row r="415" spans="1:9" ht="14.25" customHeight="1" x14ac:dyDescent="0.3">
      <c r="A415" s="8">
        <v>43983</v>
      </c>
      <c r="B415" s="9" t="s">
        <v>13</v>
      </c>
      <c r="C415" s="9">
        <v>32170.5</v>
      </c>
      <c r="D415" s="9">
        <v>3013512</v>
      </c>
      <c r="E415" s="7">
        <f>SUMIFS(Лист2!C:C,Лист2!B:B,Лист1!B415,Лист2!A:A,Лист1!A415)</f>
        <v>20</v>
      </c>
      <c r="F415" s="7">
        <f>SUMIFS(Лист2!$D:$D,Лист2!$B:$B,Лист1!$B415,Лист2!$A:$A,Лист1!$A415)</f>
        <v>2136</v>
      </c>
      <c r="G415" s="7">
        <f>SUMIFS(Лист2!$E:$E,Лист2!$B:$B,Лист1!$B415,Лист2!$A:$A,Лист1!$A415)</f>
        <v>1899</v>
      </c>
      <c r="H415" s="14">
        <f t="shared" si="12"/>
        <v>150675.6</v>
      </c>
      <c r="I415">
        <f t="shared" si="13"/>
        <v>23</v>
      </c>
    </row>
    <row r="416" spans="1:9" ht="14.25" customHeight="1" x14ac:dyDescent="0.3">
      <c r="A416" s="5">
        <v>43962</v>
      </c>
      <c r="B416" s="6" t="s">
        <v>13</v>
      </c>
      <c r="C416" s="6">
        <v>42397.5</v>
      </c>
      <c r="D416" s="6">
        <v>3911979</v>
      </c>
      <c r="E416" s="7">
        <f>SUMIFS(Лист2!C:C,Лист2!B:B,Лист1!B416,Лист2!A:A,Лист1!A416)</f>
        <v>19</v>
      </c>
      <c r="F416" s="7">
        <f>SUMIFS(Лист2!$D:$D,Лист2!$B:$B,Лист1!$B416,Лист2!$A:$A,Лист1!$A416)</f>
        <v>2530</v>
      </c>
      <c r="G416" s="7">
        <f>SUMIFS(Лист2!$E:$E,Лист2!$B:$B,Лист1!$B416,Лист2!$A:$A,Лист1!$A416)</f>
        <v>2270</v>
      </c>
      <c r="H416" s="14">
        <f t="shared" si="12"/>
        <v>205893.63157894736</v>
      </c>
      <c r="I416">
        <f t="shared" si="13"/>
        <v>20</v>
      </c>
    </row>
    <row r="417" spans="1:9" ht="14.25" customHeight="1" x14ac:dyDescent="0.3">
      <c r="A417" s="8">
        <v>43969</v>
      </c>
      <c r="B417" s="9" t="s">
        <v>13</v>
      </c>
      <c r="C417" s="9">
        <v>28668</v>
      </c>
      <c r="D417" s="9">
        <v>2588148</v>
      </c>
      <c r="E417" s="7">
        <f>SUMIFS(Лист2!C:C,Лист2!B:B,Лист1!B417,Лист2!A:A,Лист1!A417)</f>
        <v>19</v>
      </c>
      <c r="F417" s="7">
        <f>SUMIFS(Лист2!$D:$D,Лист2!$B:$B,Лист1!$B417,Лист2!$A:$A,Лист1!$A417)</f>
        <v>1858</v>
      </c>
      <c r="G417" s="7">
        <f>SUMIFS(Лист2!$E:$E,Лист2!$B:$B,Лист1!$B417,Лист2!$A:$A,Лист1!$A417)</f>
        <v>1648</v>
      </c>
      <c r="H417" s="14">
        <f t="shared" si="12"/>
        <v>136218.31578947368</v>
      </c>
      <c r="I417">
        <f t="shared" si="13"/>
        <v>21</v>
      </c>
    </row>
    <row r="418" spans="1:9" ht="14.25" customHeight="1" x14ac:dyDescent="0.3">
      <c r="A418" s="5">
        <v>43965</v>
      </c>
      <c r="B418" s="6" t="s">
        <v>13</v>
      </c>
      <c r="C418" s="6">
        <v>27411</v>
      </c>
      <c r="D418" s="6">
        <v>2441520</v>
      </c>
      <c r="E418" s="7">
        <f>SUMIFS(Лист2!C:C,Лист2!B:B,Лист1!B418,Лист2!A:A,Лист1!A418)</f>
        <v>19</v>
      </c>
      <c r="F418" s="7">
        <f>SUMIFS(Лист2!$D:$D,Лист2!$B:$B,Лист1!$B418,Лист2!$A:$A,Лист1!$A418)</f>
        <v>1675</v>
      </c>
      <c r="G418" s="7">
        <f>SUMIFS(Лист2!$E:$E,Лист2!$B:$B,Лист1!$B418,Лист2!$A:$A,Лист1!$A418)</f>
        <v>1475</v>
      </c>
      <c r="H418" s="14">
        <f t="shared" si="12"/>
        <v>128501.05263157895</v>
      </c>
      <c r="I418">
        <f t="shared" si="13"/>
        <v>20</v>
      </c>
    </row>
    <row r="419" spans="1:9" ht="14.25" customHeight="1" x14ac:dyDescent="0.3">
      <c r="A419" s="8">
        <v>43966</v>
      </c>
      <c r="B419" s="9" t="s">
        <v>13</v>
      </c>
      <c r="C419" s="9">
        <v>32854.5</v>
      </c>
      <c r="D419" s="9">
        <v>2949078</v>
      </c>
      <c r="E419" s="7">
        <f>SUMIFS(Лист2!C:C,Лист2!B:B,Лист1!B419,Лист2!A:A,Лист1!A419)</f>
        <v>19</v>
      </c>
      <c r="F419" s="7">
        <f>SUMIFS(Лист2!$D:$D,Лист2!$B:$B,Лист1!$B419,Лист2!$A:$A,Лист1!$A419)</f>
        <v>1940</v>
      </c>
      <c r="G419" s="7">
        <f>SUMIFS(Лист2!$E:$E,Лист2!$B:$B,Лист1!$B419,Лист2!$A:$A,Лист1!$A419)</f>
        <v>1715</v>
      </c>
      <c r="H419" s="14">
        <f t="shared" si="12"/>
        <v>155214.63157894736</v>
      </c>
      <c r="I419">
        <f t="shared" si="13"/>
        <v>20</v>
      </c>
    </row>
    <row r="420" spans="1:9" ht="14.25" customHeight="1" x14ac:dyDescent="0.3">
      <c r="A420" s="5">
        <v>43980</v>
      </c>
      <c r="B420" s="6" t="s">
        <v>13</v>
      </c>
      <c r="C420" s="6">
        <v>35346</v>
      </c>
      <c r="D420" s="6">
        <v>3258054</v>
      </c>
      <c r="E420" s="7">
        <f>SUMIFS(Лист2!C:C,Лист2!B:B,Лист1!B420,Лист2!A:A,Лист1!A420)</f>
        <v>20</v>
      </c>
      <c r="F420" s="7">
        <f>SUMIFS(Лист2!$D:$D,Лист2!$B:$B,Лист1!$B420,Лист2!$A:$A,Лист1!$A420)</f>
        <v>2249</v>
      </c>
      <c r="G420" s="7">
        <f>SUMIFS(Лист2!$E:$E,Лист2!$B:$B,Лист1!$B420,Лист2!$A:$A,Лист1!$A420)</f>
        <v>2000</v>
      </c>
      <c r="H420" s="14">
        <f t="shared" si="12"/>
        <v>162902.70000000001</v>
      </c>
      <c r="I420">
        <f t="shared" si="13"/>
        <v>22</v>
      </c>
    </row>
    <row r="421" spans="1:9" ht="14.25" customHeight="1" x14ac:dyDescent="0.3">
      <c r="A421" s="8">
        <v>43978</v>
      </c>
      <c r="B421" s="9" t="s">
        <v>14</v>
      </c>
      <c r="C421" s="9">
        <v>286558.5</v>
      </c>
      <c r="D421" s="9">
        <v>29256993</v>
      </c>
      <c r="E421" s="7">
        <f>SUMIFS(Лист2!C:C,Лист2!B:B,Лист1!B421,Лист2!A:A,Лист1!A421)</f>
        <v>129</v>
      </c>
      <c r="F421" s="7">
        <f>SUMIFS(Лист2!$D:$D,Лист2!$B:$B,Лист1!$B421,Лист2!$A:$A,Лист1!$A421)</f>
        <v>17115</v>
      </c>
      <c r="G421" s="7">
        <f>SUMIFS(Лист2!$E:$E,Лист2!$B:$B,Лист1!$B421,Лист2!$A:$A,Лист1!$A421)</f>
        <v>15962</v>
      </c>
      <c r="H421" s="14">
        <f t="shared" si="12"/>
        <v>226798.39534883722</v>
      </c>
      <c r="I421">
        <f t="shared" si="13"/>
        <v>22</v>
      </c>
    </row>
    <row r="422" spans="1:9" ht="14.25" customHeight="1" x14ac:dyDescent="0.3">
      <c r="A422" s="5">
        <v>43973</v>
      </c>
      <c r="B422" s="6" t="s">
        <v>14</v>
      </c>
      <c r="C422" s="6">
        <v>304092</v>
      </c>
      <c r="D422" s="6">
        <v>29465769</v>
      </c>
      <c r="E422" s="7">
        <f>SUMIFS(Лист2!C:C,Лист2!B:B,Лист1!B422,Лист2!A:A,Лист1!A422)</f>
        <v>129</v>
      </c>
      <c r="F422" s="7">
        <f>SUMIFS(Лист2!$D:$D,Лист2!$B:$B,Лист1!$B422,Лист2!$A:$A,Лист1!$A422)</f>
        <v>17088</v>
      </c>
      <c r="G422" s="7">
        <f>SUMIFS(Лист2!$E:$E,Лист2!$B:$B,Лист1!$B422,Лист2!$A:$A,Лист1!$A422)</f>
        <v>15804</v>
      </c>
      <c r="H422" s="14">
        <f t="shared" si="12"/>
        <v>228416.81395348837</v>
      </c>
      <c r="I422">
        <f t="shared" si="13"/>
        <v>21</v>
      </c>
    </row>
    <row r="423" spans="1:9" ht="14.25" customHeight="1" x14ac:dyDescent="0.3">
      <c r="A423" s="8">
        <v>43983</v>
      </c>
      <c r="B423" s="9" t="s">
        <v>14</v>
      </c>
      <c r="C423" s="9">
        <v>272926.5</v>
      </c>
      <c r="D423" s="9">
        <v>27770092.5</v>
      </c>
      <c r="E423" s="7">
        <f>SUMIFS(Лист2!C:C,Лист2!B:B,Лист1!B423,Лист2!A:A,Лист1!A423)</f>
        <v>128</v>
      </c>
      <c r="F423" s="7">
        <f>SUMIFS(Лист2!$D:$D,Лист2!$B:$B,Лист1!$B423,Лист2!$A:$A,Лист1!$A423)</f>
        <v>16285</v>
      </c>
      <c r="G423" s="7">
        <f>SUMIFS(Лист2!$E:$E,Лист2!$B:$B,Лист1!$B423,Лист2!$A:$A,Лист1!$A423)</f>
        <v>15130</v>
      </c>
      <c r="H423" s="14">
        <f t="shared" si="12"/>
        <v>216953.84765625</v>
      </c>
      <c r="I423">
        <f t="shared" si="13"/>
        <v>23</v>
      </c>
    </row>
    <row r="424" spans="1:9" ht="14.25" customHeight="1" x14ac:dyDescent="0.3">
      <c r="A424" s="5">
        <v>43962</v>
      </c>
      <c r="B424" s="6" t="s">
        <v>14</v>
      </c>
      <c r="C424" s="6">
        <v>237099</v>
      </c>
      <c r="D424" s="6">
        <v>24628233.223949999</v>
      </c>
      <c r="E424" s="7">
        <f>SUMIFS(Лист2!C:C,Лист2!B:B,Лист1!B424,Лист2!A:A,Лист1!A424)</f>
        <v>129</v>
      </c>
      <c r="F424" s="7">
        <f>SUMIFS(Лист2!$D:$D,Лист2!$B:$B,Лист1!$B424,Лист2!$A:$A,Лист1!$A424)</f>
        <v>14043</v>
      </c>
      <c r="G424" s="7">
        <f>SUMIFS(Лист2!$E:$E,Лист2!$B:$B,Лист1!$B424,Лист2!$A:$A,Лист1!$A424)</f>
        <v>13167</v>
      </c>
      <c r="H424" s="14">
        <f t="shared" si="12"/>
        <v>190916.53661976743</v>
      </c>
      <c r="I424">
        <f t="shared" si="13"/>
        <v>20</v>
      </c>
    </row>
    <row r="425" spans="1:9" ht="14.25" customHeight="1" x14ac:dyDescent="0.3">
      <c r="A425" s="8">
        <v>43969</v>
      </c>
      <c r="B425" s="9" t="s">
        <v>14</v>
      </c>
      <c r="C425" s="9">
        <v>273900</v>
      </c>
      <c r="D425" s="9">
        <v>27535284.147600003</v>
      </c>
      <c r="E425" s="7">
        <f>SUMIFS(Лист2!C:C,Лист2!B:B,Лист1!B425,Лист2!A:A,Лист1!A425)</f>
        <v>129</v>
      </c>
      <c r="F425" s="7">
        <f>SUMIFS(Лист2!$D:$D,Лист2!$B:$B,Лист1!$B425,Лист2!$A:$A,Лист1!$A425)</f>
        <v>16110</v>
      </c>
      <c r="G425" s="7">
        <f>SUMIFS(Лист2!$E:$E,Лист2!$B:$B,Лист1!$B425,Лист2!$A:$A,Лист1!$A425)</f>
        <v>14992</v>
      </c>
      <c r="H425" s="14">
        <f t="shared" si="12"/>
        <v>213451.81509767444</v>
      </c>
      <c r="I425">
        <f t="shared" si="13"/>
        <v>21</v>
      </c>
    </row>
    <row r="426" spans="1:9" ht="14.25" customHeight="1" x14ac:dyDescent="0.3">
      <c r="A426" s="5">
        <v>43965</v>
      </c>
      <c r="B426" s="6" t="s">
        <v>14</v>
      </c>
      <c r="C426" s="6">
        <v>274059</v>
      </c>
      <c r="D426" s="6">
        <v>28181292</v>
      </c>
      <c r="E426" s="7">
        <f>SUMIFS(Лист2!C:C,Лист2!B:B,Лист1!B426,Лист2!A:A,Лист1!A426)</f>
        <v>129</v>
      </c>
      <c r="F426" s="7">
        <f>SUMIFS(Лист2!$D:$D,Лист2!$B:$B,Лист1!$B426,Лист2!$A:$A,Лист1!$A426)</f>
        <v>15804</v>
      </c>
      <c r="G426" s="7">
        <f>SUMIFS(Лист2!$E:$E,Лист2!$B:$B,Лист1!$B426,Лист2!$A:$A,Лист1!$A426)</f>
        <v>14738</v>
      </c>
      <c r="H426" s="14">
        <f t="shared" si="12"/>
        <v>218459.62790697673</v>
      </c>
      <c r="I426">
        <f t="shared" si="13"/>
        <v>20</v>
      </c>
    </row>
    <row r="427" spans="1:9" ht="14.25" customHeight="1" x14ac:dyDescent="0.3">
      <c r="A427" s="8">
        <v>43966</v>
      </c>
      <c r="B427" s="9" t="s">
        <v>14</v>
      </c>
      <c r="C427" s="9">
        <v>318816</v>
      </c>
      <c r="D427" s="9">
        <v>32354331</v>
      </c>
      <c r="E427" s="7">
        <f>SUMIFS(Лист2!C:C,Лист2!B:B,Лист1!B427,Лист2!A:A,Лист1!A427)</f>
        <v>129</v>
      </c>
      <c r="F427" s="7">
        <f>SUMIFS(Лист2!$D:$D,Лист2!$B:$B,Лист1!$B427,Лист2!$A:$A,Лист1!$A427)</f>
        <v>17808</v>
      </c>
      <c r="G427" s="7">
        <f>SUMIFS(Лист2!$E:$E,Лист2!$B:$B,Лист1!$B427,Лист2!$A:$A,Лист1!$A427)</f>
        <v>16486</v>
      </c>
      <c r="H427" s="14">
        <f t="shared" si="12"/>
        <v>250808.76744186046</v>
      </c>
      <c r="I427">
        <f t="shared" si="13"/>
        <v>20</v>
      </c>
    </row>
    <row r="428" spans="1:9" ht="14.25" customHeight="1" x14ac:dyDescent="0.3">
      <c r="A428" s="5">
        <v>43978</v>
      </c>
      <c r="B428" s="6" t="s">
        <v>15</v>
      </c>
      <c r="C428" s="6">
        <v>370012.5</v>
      </c>
      <c r="D428" s="6">
        <v>39034861.5</v>
      </c>
      <c r="E428" s="7">
        <f>SUMIFS(Лист2!C:C,Лист2!B:B,Лист1!B428,Лист2!A:A,Лист1!A428)</f>
        <v>124</v>
      </c>
      <c r="F428" s="7">
        <f>SUMIFS(Лист2!$D:$D,Лист2!$B:$B,Лист1!$B428,Лист2!$A:$A,Лист1!$A428)</f>
        <v>21384</v>
      </c>
      <c r="G428" s="7">
        <f>SUMIFS(Лист2!$E:$E,Лист2!$B:$B,Лист1!$B428,Лист2!$A:$A,Лист1!$A428)</f>
        <v>19897</v>
      </c>
      <c r="H428" s="14">
        <f t="shared" si="12"/>
        <v>314797.2701612903</v>
      </c>
      <c r="I428">
        <f t="shared" si="13"/>
        <v>22</v>
      </c>
    </row>
    <row r="429" spans="1:9" ht="14.25" customHeight="1" x14ac:dyDescent="0.3">
      <c r="A429" s="8">
        <v>43973</v>
      </c>
      <c r="B429" s="9" t="s">
        <v>15</v>
      </c>
      <c r="C429" s="9">
        <v>393018</v>
      </c>
      <c r="D429" s="9">
        <v>39498373.5</v>
      </c>
      <c r="E429" s="7">
        <f>SUMIFS(Лист2!C:C,Лист2!B:B,Лист1!B429,Лист2!A:A,Лист1!A429)</f>
        <v>125</v>
      </c>
      <c r="F429" s="7">
        <f>SUMIFS(Лист2!$D:$D,Лист2!$B:$B,Лист1!$B429,Лист2!$A:$A,Лист1!$A429)</f>
        <v>21427</v>
      </c>
      <c r="G429" s="7">
        <f>SUMIFS(Лист2!$E:$E,Лист2!$B:$B,Лист1!$B429,Лист2!$A:$A,Лист1!$A429)</f>
        <v>19799</v>
      </c>
      <c r="H429" s="14">
        <f t="shared" si="12"/>
        <v>315986.98800000001</v>
      </c>
      <c r="I429">
        <f t="shared" si="13"/>
        <v>21</v>
      </c>
    </row>
    <row r="430" spans="1:9" ht="14.25" customHeight="1" x14ac:dyDescent="0.3">
      <c r="A430" s="5">
        <v>43983</v>
      </c>
      <c r="B430" s="6" t="s">
        <v>15</v>
      </c>
      <c r="C430" s="6">
        <v>349699.5</v>
      </c>
      <c r="D430" s="6">
        <v>37257840.18135</v>
      </c>
      <c r="E430" s="7">
        <f>SUMIFS(Лист2!C:C,Лист2!B:B,Лист1!B430,Лист2!A:A,Лист1!A430)</f>
        <v>123</v>
      </c>
      <c r="F430" s="7">
        <f>SUMIFS(Лист2!$D:$D,Лист2!$B:$B,Лист1!$B430,Лист2!$A:$A,Лист1!$A430)</f>
        <v>20325</v>
      </c>
      <c r="G430" s="7">
        <f>SUMIFS(Лист2!$E:$E,Лист2!$B:$B,Лист1!$B430,Лист2!$A:$A,Лист1!$A430)</f>
        <v>18935</v>
      </c>
      <c r="H430" s="14">
        <f t="shared" si="12"/>
        <v>302909.26976707316</v>
      </c>
      <c r="I430">
        <f t="shared" si="13"/>
        <v>23</v>
      </c>
    </row>
    <row r="431" spans="1:9" ht="14.25" customHeight="1" x14ac:dyDescent="0.3">
      <c r="A431" s="8">
        <v>43962</v>
      </c>
      <c r="B431" s="9" t="s">
        <v>15</v>
      </c>
      <c r="C431" s="9">
        <v>318565.5</v>
      </c>
      <c r="D431" s="9">
        <v>33781581</v>
      </c>
      <c r="E431" s="7">
        <f>SUMIFS(Лист2!C:C,Лист2!B:B,Лист1!B431,Лист2!A:A,Лист1!A431)</f>
        <v>125</v>
      </c>
      <c r="F431" s="7">
        <f>SUMIFS(Лист2!$D:$D,Лист2!$B:$B,Лист1!$B431,Лист2!$A:$A,Лист1!$A431)</f>
        <v>18066</v>
      </c>
      <c r="G431" s="7">
        <f>SUMIFS(Лист2!$E:$E,Лист2!$B:$B,Лист1!$B431,Лист2!$A:$A,Лист1!$A431)</f>
        <v>16883</v>
      </c>
      <c r="H431" s="14">
        <f t="shared" si="12"/>
        <v>270252.64799999999</v>
      </c>
      <c r="I431">
        <f t="shared" si="13"/>
        <v>20</v>
      </c>
    </row>
    <row r="432" spans="1:9" ht="14.25" customHeight="1" x14ac:dyDescent="0.3">
      <c r="A432" s="5">
        <v>43980</v>
      </c>
      <c r="B432" s="6" t="s">
        <v>14</v>
      </c>
      <c r="C432" s="6">
        <v>422965.5</v>
      </c>
      <c r="D432" s="6">
        <v>41767140.105000004</v>
      </c>
      <c r="E432" s="7">
        <f>SUMIFS(Лист2!C:C,Лист2!B:B,Лист1!B432,Лист2!A:A,Лист1!A432)</f>
        <v>129</v>
      </c>
      <c r="F432" s="7">
        <f>SUMIFS(Лист2!$D:$D,Лист2!$B:$B,Лист1!$B432,Лист2!$A:$A,Лист1!$A432)</f>
        <v>22403</v>
      </c>
      <c r="G432" s="7">
        <f>SUMIFS(Лист2!$E:$E,Лист2!$B:$B,Лист1!$B432,Лист2!$A:$A,Лист1!$A432)</f>
        <v>20676</v>
      </c>
      <c r="H432" s="14">
        <f t="shared" si="12"/>
        <v>323776.27988372097</v>
      </c>
      <c r="I432">
        <f t="shared" si="13"/>
        <v>22</v>
      </c>
    </row>
    <row r="433" spans="1:9" ht="14.25" customHeight="1" x14ac:dyDescent="0.3">
      <c r="A433" s="8">
        <v>43969</v>
      </c>
      <c r="B433" s="9" t="s">
        <v>15</v>
      </c>
      <c r="C433" s="9">
        <v>355081.5</v>
      </c>
      <c r="D433" s="9">
        <v>36876888</v>
      </c>
      <c r="E433" s="7">
        <f>SUMIFS(Лист2!C:C,Лист2!B:B,Лист1!B433,Лист2!A:A,Лист1!A433)</f>
        <v>125</v>
      </c>
      <c r="F433" s="7">
        <f>SUMIFS(Лист2!$D:$D,Лист2!$B:$B,Лист1!$B433,Лист2!$A:$A,Лист1!$A433)</f>
        <v>20449</v>
      </c>
      <c r="G433" s="7">
        <f>SUMIFS(Лист2!$E:$E,Лист2!$B:$B,Лист1!$B433,Лист2!$A:$A,Лист1!$A433)</f>
        <v>19060</v>
      </c>
      <c r="H433" s="14">
        <f t="shared" si="12"/>
        <v>295015.10399999999</v>
      </c>
      <c r="I433">
        <f t="shared" si="13"/>
        <v>21</v>
      </c>
    </row>
    <row r="434" spans="1:9" ht="14.25" customHeight="1" x14ac:dyDescent="0.3">
      <c r="A434" s="5">
        <v>43965</v>
      </c>
      <c r="B434" s="6" t="s">
        <v>15</v>
      </c>
      <c r="C434" s="6">
        <v>358387.5</v>
      </c>
      <c r="D434" s="6">
        <v>37963150.5</v>
      </c>
      <c r="E434" s="7">
        <f>SUMIFS(Лист2!C:C,Лист2!B:B,Лист1!B434,Лист2!A:A,Лист1!A434)</f>
        <v>125</v>
      </c>
      <c r="F434" s="7">
        <f>SUMIFS(Лист2!$D:$D,Лист2!$B:$B,Лист1!$B434,Лист2!$A:$A,Лист1!$A434)</f>
        <v>20247</v>
      </c>
      <c r="G434" s="7">
        <f>SUMIFS(Лист2!$E:$E,Лист2!$B:$B,Лист1!$B434,Лист2!$A:$A,Лист1!$A434)</f>
        <v>18812</v>
      </c>
      <c r="H434" s="14">
        <f t="shared" si="12"/>
        <v>303705.20400000003</v>
      </c>
      <c r="I434">
        <f t="shared" si="13"/>
        <v>20</v>
      </c>
    </row>
    <row r="435" spans="1:9" ht="14.25" customHeight="1" x14ac:dyDescent="0.3">
      <c r="A435" s="8">
        <v>43966</v>
      </c>
      <c r="B435" s="9" t="s">
        <v>15</v>
      </c>
      <c r="C435" s="9">
        <v>403261.5</v>
      </c>
      <c r="D435" s="9">
        <v>42271377</v>
      </c>
      <c r="E435" s="7">
        <f>SUMIFS(Лист2!C:C,Лист2!B:B,Лист1!B435,Лист2!A:A,Лист1!A435)</f>
        <v>125</v>
      </c>
      <c r="F435" s="7">
        <f>SUMIFS(Лист2!$D:$D,Лист2!$B:$B,Лист1!$B435,Лист2!$A:$A,Лист1!$A435)</f>
        <v>21862</v>
      </c>
      <c r="G435" s="7">
        <f>SUMIFS(Лист2!$E:$E,Лист2!$B:$B,Лист1!$B435,Лист2!$A:$A,Лист1!$A435)</f>
        <v>20235</v>
      </c>
      <c r="H435" s="14">
        <f t="shared" si="12"/>
        <v>338171.016</v>
      </c>
      <c r="I435">
        <f t="shared" si="13"/>
        <v>20</v>
      </c>
    </row>
    <row r="436" spans="1:9" ht="14.25" customHeight="1" x14ac:dyDescent="0.3">
      <c r="A436" s="5">
        <v>43978</v>
      </c>
      <c r="B436" s="6" t="s">
        <v>16</v>
      </c>
      <c r="C436" s="6">
        <v>69010.5</v>
      </c>
      <c r="D436" s="6">
        <v>5985894</v>
      </c>
      <c r="E436" s="7">
        <f>SUMIFS(Лист2!C:C,Лист2!B:B,Лист1!B436,Лист2!A:A,Лист1!A436)</f>
        <v>36</v>
      </c>
      <c r="F436" s="7">
        <f>SUMIFS(Лист2!$D:$D,Лист2!$B:$B,Лист1!$B436,Лист2!$A:$A,Лист1!$A436)</f>
        <v>4951</v>
      </c>
      <c r="G436" s="7">
        <f>SUMIFS(Лист2!$E:$E,Лист2!$B:$B,Лист1!$B436,Лист2!$A:$A,Лист1!$A436)</f>
        <v>4584</v>
      </c>
      <c r="H436" s="14">
        <f t="shared" si="12"/>
        <v>166274.83333333334</v>
      </c>
      <c r="I436">
        <f t="shared" si="13"/>
        <v>22</v>
      </c>
    </row>
    <row r="437" spans="1:9" ht="14.25" customHeight="1" x14ac:dyDescent="0.3">
      <c r="A437" s="8">
        <v>43973</v>
      </c>
      <c r="B437" s="9" t="s">
        <v>16</v>
      </c>
      <c r="C437" s="9">
        <v>75820.5</v>
      </c>
      <c r="D437" s="9">
        <v>5943489</v>
      </c>
      <c r="E437" s="7">
        <f>SUMIFS(Лист2!C:C,Лист2!B:B,Лист1!B437,Лист2!A:A,Лист1!A437)</f>
        <v>36</v>
      </c>
      <c r="F437" s="7">
        <f>SUMIFS(Лист2!$D:$D,Лист2!$B:$B,Лист1!$B437,Лист2!$A:$A,Лист1!$A437)</f>
        <v>4857</v>
      </c>
      <c r="G437" s="7">
        <f>SUMIFS(Лист2!$E:$E,Лист2!$B:$B,Лист1!$B437,Лист2!$A:$A,Лист1!$A437)</f>
        <v>4456</v>
      </c>
      <c r="H437" s="14">
        <f t="shared" si="12"/>
        <v>165096.91666666666</v>
      </c>
      <c r="I437">
        <f t="shared" si="13"/>
        <v>21</v>
      </c>
    </row>
    <row r="438" spans="1:9" ht="14.25" customHeight="1" x14ac:dyDescent="0.3">
      <c r="A438" s="5">
        <v>43983</v>
      </c>
      <c r="B438" s="6" t="s">
        <v>16</v>
      </c>
      <c r="C438" s="6">
        <v>64740</v>
      </c>
      <c r="D438" s="6">
        <v>5800290</v>
      </c>
      <c r="E438" s="7">
        <f>SUMIFS(Лист2!C:C,Лист2!B:B,Лист1!B438,Лист2!A:A,Лист1!A438)</f>
        <v>37</v>
      </c>
      <c r="F438" s="7">
        <f>SUMIFS(Лист2!$D:$D,Лист2!$B:$B,Лист1!$B438,Лист2!$A:$A,Лист1!$A438)</f>
        <v>4722</v>
      </c>
      <c r="G438" s="7">
        <f>SUMIFS(Лист2!$E:$E,Лист2!$B:$B,Лист1!$B438,Лист2!$A:$A,Лист1!$A438)</f>
        <v>4352</v>
      </c>
      <c r="H438" s="14">
        <f t="shared" si="12"/>
        <v>156764.59459459459</v>
      </c>
      <c r="I438">
        <f t="shared" si="13"/>
        <v>23</v>
      </c>
    </row>
    <row r="439" spans="1:9" ht="14.25" customHeight="1" x14ac:dyDescent="0.3">
      <c r="A439" s="8">
        <v>43962</v>
      </c>
      <c r="B439" s="9" t="s">
        <v>16</v>
      </c>
      <c r="C439" s="9">
        <v>59574</v>
      </c>
      <c r="D439" s="9">
        <v>5178169.5</v>
      </c>
      <c r="E439" s="7">
        <f>SUMIFS(Лист2!C:C,Лист2!B:B,Лист1!B439,Лист2!A:A,Лист1!A439)</f>
        <v>36</v>
      </c>
      <c r="F439" s="7">
        <f>SUMIFS(Лист2!$D:$D,Лист2!$B:$B,Лист1!$B439,Лист2!$A:$A,Лист1!$A439)</f>
        <v>4150</v>
      </c>
      <c r="G439" s="7">
        <f>SUMIFS(Лист2!$E:$E,Лист2!$B:$B,Лист1!$B439,Лист2!$A:$A,Лист1!$A439)</f>
        <v>3838</v>
      </c>
      <c r="H439" s="14">
        <f t="shared" si="12"/>
        <v>143838.04166666666</v>
      </c>
      <c r="I439">
        <f t="shared" si="13"/>
        <v>20</v>
      </c>
    </row>
    <row r="440" spans="1:9" ht="14.25" customHeight="1" x14ac:dyDescent="0.3">
      <c r="A440" s="5">
        <v>43980</v>
      </c>
      <c r="B440" s="6" t="s">
        <v>15</v>
      </c>
      <c r="C440" s="6">
        <v>524481</v>
      </c>
      <c r="D440" s="6">
        <v>54172029</v>
      </c>
      <c r="E440" s="7">
        <f>SUMIFS(Лист2!C:C,Лист2!B:B,Лист1!B440,Лист2!A:A,Лист1!A440)</f>
        <v>124</v>
      </c>
      <c r="F440" s="7">
        <f>SUMIFS(Лист2!$D:$D,Лист2!$B:$B,Лист1!$B440,Лист2!$A:$A,Лист1!$A440)</f>
        <v>25828</v>
      </c>
      <c r="G440" s="7">
        <f>SUMIFS(Лист2!$E:$E,Лист2!$B:$B,Лист1!$B440,Лист2!$A:$A,Лист1!$A440)</f>
        <v>23974</v>
      </c>
      <c r="H440" s="14">
        <f t="shared" si="12"/>
        <v>436871.20161290321</v>
      </c>
      <c r="I440">
        <f t="shared" si="13"/>
        <v>22</v>
      </c>
    </row>
    <row r="441" spans="1:9" ht="14.25" customHeight="1" x14ac:dyDescent="0.3">
      <c r="A441" s="8">
        <v>43969</v>
      </c>
      <c r="B441" s="9" t="s">
        <v>16</v>
      </c>
      <c r="C441" s="9">
        <v>70278</v>
      </c>
      <c r="D441" s="9">
        <v>5798476.5</v>
      </c>
      <c r="E441" s="7">
        <f>SUMIFS(Лист2!C:C,Лист2!B:B,Лист1!B441,Лист2!A:A,Лист1!A441)</f>
        <v>36</v>
      </c>
      <c r="F441" s="7">
        <f>SUMIFS(Лист2!$D:$D,Лист2!$B:$B,Лист1!$B441,Лист2!$A:$A,Лист1!$A441)</f>
        <v>4885</v>
      </c>
      <c r="G441" s="7">
        <f>SUMIFS(Лист2!$E:$E,Лист2!$B:$B,Лист1!$B441,Лист2!$A:$A,Лист1!$A441)</f>
        <v>4502</v>
      </c>
      <c r="H441" s="14">
        <f t="shared" si="12"/>
        <v>161068.79166666666</v>
      </c>
      <c r="I441">
        <f t="shared" si="13"/>
        <v>21</v>
      </c>
    </row>
    <row r="442" spans="1:9" ht="14.25" customHeight="1" x14ac:dyDescent="0.3">
      <c r="A442" s="5">
        <v>43965</v>
      </c>
      <c r="B442" s="6" t="s">
        <v>16</v>
      </c>
      <c r="C442" s="6">
        <v>63645</v>
      </c>
      <c r="D442" s="6">
        <v>5366602.5</v>
      </c>
      <c r="E442" s="7">
        <f>SUMIFS(Лист2!C:C,Лист2!B:B,Лист1!B442,Лист2!A:A,Лист1!A442)</f>
        <v>36</v>
      </c>
      <c r="F442" s="7">
        <f>SUMIFS(Лист2!$D:$D,Лист2!$B:$B,Лист1!$B442,Лист2!$A:$A,Лист1!$A442)</f>
        <v>4285</v>
      </c>
      <c r="G442" s="7">
        <f>SUMIFS(Лист2!$E:$E,Лист2!$B:$B,Лист1!$B442,Лист2!$A:$A,Лист1!$A442)</f>
        <v>3950</v>
      </c>
      <c r="H442" s="14">
        <f t="shared" si="12"/>
        <v>149072.29166666666</v>
      </c>
      <c r="I442">
        <f t="shared" si="13"/>
        <v>20</v>
      </c>
    </row>
    <row r="443" spans="1:9" ht="14.25" customHeight="1" x14ac:dyDescent="0.3">
      <c r="A443" s="8">
        <v>43966</v>
      </c>
      <c r="B443" s="9" t="s">
        <v>16</v>
      </c>
      <c r="C443" s="9">
        <v>75642</v>
      </c>
      <c r="D443" s="9">
        <v>6293952</v>
      </c>
      <c r="E443" s="7">
        <f>SUMIFS(Лист2!C:C,Лист2!B:B,Лист1!B443,Лист2!A:A,Лист1!A443)</f>
        <v>36</v>
      </c>
      <c r="F443" s="7">
        <f>SUMIFS(Лист2!$D:$D,Лист2!$B:$B,Лист1!$B443,Лист2!$A:$A,Лист1!$A443)</f>
        <v>4862</v>
      </c>
      <c r="G443" s="7">
        <f>SUMIFS(Лист2!$E:$E,Лист2!$B:$B,Лист1!$B443,Лист2!$A:$A,Лист1!$A443)</f>
        <v>4476</v>
      </c>
      <c r="H443" s="14">
        <f t="shared" si="12"/>
        <v>174832</v>
      </c>
      <c r="I443">
        <f t="shared" si="13"/>
        <v>20</v>
      </c>
    </row>
    <row r="444" spans="1:9" ht="14.25" customHeight="1" x14ac:dyDescent="0.3">
      <c r="A444" s="5">
        <v>43978</v>
      </c>
      <c r="B444" s="6" t="s">
        <v>17</v>
      </c>
      <c r="C444" s="6">
        <v>40420.5</v>
      </c>
      <c r="D444" s="6">
        <v>3780852</v>
      </c>
      <c r="E444" s="7">
        <f>SUMIFS(Лист2!C:C,Лист2!B:B,Лист1!B444,Лист2!A:A,Лист1!A444)</f>
        <v>21</v>
      </c>
      <c r="F444" s="7">
        <f>SUMIFS(Лист2!$D:$D,Лист2!$B:$B,Лист1!$B444,Лист2!$A:$A,Лист1!$A444)</f>
        <v>2430</v>
      </c>
      <c r="G444" s="7">
        <f>SUMIFS(Лист2!$E:$E,Лист2!$B:$B,Лист1!$B444,Лист2!$A:$A,Лист1!$A444)</f>
        <v>2216</v>
      </c>
      <c r="H444" s="14">
        <f t="shared" si="12"/>
        <v>180040.57142857142</v>
      </c>
      <c r="I444">
        <f t="shared" si="13"/>
        <v>22</v>
      </c>
    </row>
    <row r="445" spans="1:9" ht="14.25" customHeight="1" x14ac:dyDescent="0.3">
      <c r="A445" s="8">
        <v>43973</v>
      </c>
      <c r="B445" s="9" t="s">
        <v>17</v>
      </c>
      <c r="C445" s="9">
        <v>53838</v>
      </c>
      <c r="D445" s="9">
        <v>4840833</v>
      </c>
      <c r="E445" s="7">
        <f>SUMIFS(Лист2!C:C,Лист2!B:B,Лист1!B445,Лист2!A:A,Лист1!A445)</f>
        <v>21</v>
      </c>
      <c r="F445" s="7">
        <f>SUMIFS(Лист2!$D:$D,Лист2!$B:$B,Лист1!$B445,Лист2!$A:$A,Лист1!$A445)</f>
        <v>2861</v>
      </c>
      <c r="G445" s="7">
        <f>SUMIFS(Лист2!$E:$E,Лист2!$B:$B,Лист1!$B445,Лист2!$A:$A,Лист1!$A445)</f>
        <v>2612</v>
      </c>
      <c r="H445" s="14">
        <f t="shared" si="12"/>
        <v>230515.85714285713</v>
      </c>
      <c r="I445">
        <f t="shared" si="13"/>
        <v>21</v>
      </c>
    </row>
    <row r="446" spans="1:9" ht="14.25" customHeight="1" x14ac:dyDescent="0.3">
      <c r="A446" s="5">
        <v>43983</v>
      </c>
      <c r="B446" s="6" t="s">
        <v>17</v>
      </c>
      <c r="C446" s="6">
        <v>40528.5</v>
      </c>
      <c r="D446" s="6">
        <v>3865251</v>
      </c>
      <c r="E446" s="7">
        <f>SUMIFS(Лист2!C:C,Лист2!B:B,Лист1!B446,Лист2!A:A,Лист1!A446)</f>
        <v>23</v>
      </c>
      <c r="F446" s="7">
        <f>SUMIFS(Лист2!$D:$D,Лист2!$B:$B,Лист1!$B446,Лист2!$A:$A,Лист1!$A446)</f>
        <v>2531</v>
      </c>
      <c r="G446" s="7">
        <f>SUMIFS(Лист2!$E:$E,Лист2!$B:$B,Лист1!$B446,Лист2!$A:$A,Лист1!$A446)</f>
        <v>2296</v>
      </c>
      <c r="H446" s="14">
        <f t="shared" si="12"/>
        <v>168054.39130434784</v>
      </c>
      <c r="I446">
        <f t="shared" si="13"/>
        <v>23</v>
      </c>
    </row>
    <row r="447" spans="1:9" ht="14.25" customHeight="1" x14ac:dyDescent="0.3">
      <c r="A447" s="8">
        <v>43962</v>
      </c>
      <c r="B447" s="9" t="s">
        <v>17</v>
      </c>
      <c r="C447" s="9">
        <v>32733</v>
      </c>
      <c r="D447" s="9">
        <v>3079630.5</v>
      </c>
      <c r="E447" s="7">
        <f>SUMIFS(Лист2!C:C,Лист2!B:B,Лист1!B447,Лист2!A:A,Лист1!A447)</f>
        <v>21</v>
      </c>
      <c r="F447" s="7">
        <f>SUMIFS(Лист2!$D:$D,Лист2!$B:$B,Лист1!$B447,Лист2!$A:$A,Лист1!$A447)</f>
        <v>1916</v>
      </c>
      <c r="G447" s="7">
        <f>SUMIFS(Лист2!$E:$E,Лист2!$B:$B,Лист1!$B447,Лист2!$A:$A,Лист1!$A447)</f>
        <v>1733</v>
      </c>
      <c r="H447" s="14">
        <f t="shared" si="12"/>
        <v>146649.07142857142</v>
      </c>
      <c r="I447">
        <f t="shared" si="13"/>
        <v>20</v>
      </c>
    </row>
    <row r="448" spans="1:9" ht="14.25" customHeight="1" x14ac:dyDescent="0.3">
      <c r="A448" s="5">
        <v>43980</v>
      </c>
      <c r="B448" s="6" t="s">
        <v>16</v>
      </c>
      <c r="C448" s="6">
        <v>84433.5</v>
      </c>
      <c r="D448" s="6">
        <v>7228395</v>
      </c>
      <c r="E448" s="7">
        <f>SUMIFS(Лист2!C:C,Лист2!B:B,Лист1!B448,Лист2!A:A,Лист1!A448)</f>
        <v>37</v>
      </c>
      <c r="F448" s="7">
        <f>SUMIFS(Лист2!$D:$D,Лист2!$B:$B,Лист1!$B448,Лист2!$A:$A,Лист1!$A448)</f>
        <v>5672</v>
      </c>
      <c r="G448" s="7">
        <f>SUMIFS(Лист2!$E:$E,Лист2!$B:$B,Лист1!$B448,Лист2!$A:$A,Лист1!$A448)</f>
        <v>5198</v>
      </c>
      <c r="H448" s="14">
        <f t="shared" si="12"/>
        <v>195362.02702702704</v>
      </c>
      <c r="I448">
        <f t="shared" si="13"/>
        <v>22</v>
      </c>
    </row>
    <row r="449" spans="1:9" ht="14.25" customHeight="1" x14ac:dyDescent="0.3">
      <c r="A449" s="8">
        <v>43969</v>
      </c>
      <c r="B449" s="9" t="s">
        <v>17</v>
      </c>
      <c r="C449" s="9">
        <v>36655.5</v>
      </c>
      <c r="D449" s="9">
        <v>3360135</v>
      </c>
      <c r="E449" s="7">
        <f>SUMIFS(Лист2!C:C,Лист2!B:B,Лист1!B449,Лист2!A:A,Лист1!A449)</f>
        <v>21</v>
      </c>
      <c r="F449" s="7">
        <f>SUMIFS(Лист2!$D:$D,Лист2!$B:$B,Лист1!$B449,Лист2!$A:$A,Лист1!$A449)</f>
        <v>2136</v>
      </c>
      <c r="G449" s="7">
        <f>SUMIFS(Лист2!$E:$E,Лист2!$B:$B,Лист1!$B449,Лист2!$A:$A,Лист1!$A449)</f>
        <v>1947</v>
      </c>
      <c r="H449" s="14">
        <f t="shared" si="12"/>
        <v>160006.42857142858</v>
      </c>
      <c r="I449">
        <f t="shared" si="13"/>
        <v>21</v>
      </c>
    </row>
    <row r="450" spans="1:9" ht="14.25" customHeight="1" x14ac:dyDescent="0.3">
      <c r="A450" s="5">
        <v>43965</v>
      </c>
      <c r="B450" s="6" t="s">
        <v>17</v>
      </c>
      <c r="C450" s="6">
        <v>33886.5</v>
      </c>
      <c r="D450" s="6">
        <v>3166479</v>
      </c>
      <c r="E450" s="7">
        <f>SUMIFS(Лист2!C:C,Лист2!B:B,Лист1!B450,Лист2!A:A,Лист1!A450)</f>
        <v>21</v>
      </c>
      <c r="F450" s="7">
        <f>SUMIFS(Лист2!$D:$D,Лист2!$B:$B,Лист1!$B450,Лист2!$A:$A,Лист1!$A450)</f>
        <v>1993</v>
      </c>
      <c r="G450" s="7">
        <f>SUMIFS(Лист2!$E:$E,Лист2!$B:$B,Лист1!$B450,Лист2!$A:$A,Лист1!$A450)</f>
        <v>1796</v>
      </c>
      <c r="H450" s="14">
        <f t="shared" si="12"/>
        <v>150784.71428571429</v>
      </c>
      <c r="I450">
        <f t="shared" si="13"/>
        <v>20</v>
      </c>
    </row>
    <row r="451" spans="1:9" ht="14.25" customHeight="1" x14ac:dyDescent="0.3">
      <c r="A451" s="8">
        <v>43966</v>
      </c>
      <c r="B451" s="9" t="s">
        <v>17</v>
      </c>
      <c r="C451" s="9">
        <v>41697</v>
      </c>
      <c r="D451" s="9">
        <v>3772258.5</v>
      </c>
      <c r="E451" s="7">
        <f>SUMIFS(Лист2!C:C,Лист2!B:B,Лист1!B451,Лист2!A:A,Лист1!A451)</f>
        <v>21</v>
      </c>
      <c r="F451" s="7">
        <f>SUMIFS(Лист2!$D:$D,Лист2!$B:$B,Лист1!$B451,Лист2!$A:$A,Лист1!$A451)</f>
        <v>2255</v>
      </c>
      <c r="G451" s="7">
        <f>SUMIFS(Лист2!$E:$E,Лист2!$B:$B,Лист1!$B451,Лист2!$A:$A,Лист1!$A451)</f>
        <v>2045</v>
      </c>
      <c r="H451" s="14">
        <f t="shared" ref="H451:H505" si="14">D451/E451</f>
        <v>179631.35714285713</v>
      </c>
      <c r="I451">
        <f t="shared" ref="I451:I505" si="15">WEEKNUM(A451,2)</f>
        <v>20</v>
      </c>
    </row>
    <row r="452" spans="1:9" ht="14.25" customHeight="1" x14ac:dyDescent="0.3">
      <c r="A452" s="5">
        <v>43980</v>
      </c>
      <c r="B452" s="6" t="s">
        <v>17</v>
      </c>
      <c r="C452" s="6">
        <v>44569.5</v>
      </c>
      <c r="D452" s="6">
        <v>4108596</v>
      </c>
      <c r="E452" s="7">
        <f>SUMIFS(Лист2!C:C,Лист2!B:B,Лист1!B452,Лист2!A:A,Лист1!A452)</f>
        <v>22</v>
      </c>
      <c r="F452" s="7">
        <f>SUMIFS(Лист2!$D:$D,Лист2!$B:$B,Лист1!$B452,Лист2!$A:$A,Лист1!$A452)</f>
        <v>2597</v>
      </c>
      <c r="G452" s="7">
        <f>SUMIFS(Лист2!$E:$E,Лист2!$B:$B,Лист1!$B452,Лист2!$A:$A,Лист1!$A452)</f>
        <v>2379</v>
      </c>
      <c r="H452" s="14">
        <f t="shared" si="14"/>
        <v>186754.36363636365</v>
      </c>
      <c r="I452">
        <f t="shared" si="15"/>
        <v>22</v>
      </c>
    </row>
    <row r="453" spans="1:9" ht="14.25" customHeight="1" x14ac:dyDescent="0.3">
      <c r="A453" s="8">
        <v>43978</v>
      </c>
      <c r="B453" s="9" t="s">
        <v>18</v>
      </c>
      <c r="C453" s="9">
        <v>18069</v>
      </c>
      <c r="D453" s="9">
        <v>1603084.5</v>
      </c>
      <c r="E453" s="7">
        <f>SUMIFS(Лист2!C:C,Лист2!B:B,Лист1!B453,Лист2!A:A,Лист1!A453)</f>
        <v>17</v>
      </c>
      <c r="F453" s="7">
        <f>SUMIFS(Лист2!$D:$D,Лист2!$B:$B,Лист1!$B453,Лист2!$A:$A,Лист1!$A453)</f>
        <v>1203</v>
      </c>
      <c r="G453" s="7">
        <f>SUMIFS(Лист2!$E:$E,Лист2!$B:$B,Лист1!$B453,Лист2!$A:$A,Лист1!$A453)</f>
        <v>1077</v>
      </c>
      <c r="H453" s="14">
        <f t="shared" si="14"/>
        <v>94299.088235294112</v>
      </c>
      <c r="I453">
        <f t="shared" si="15"/>
        <v>22</v>
      </c>
    </row>
    <row r="454" spans="1:9" ht="14.25" customHeight="1" x14ac:dyDescent="0.3">
      <c r="A454" s="5">
        <v>43973</v>
      </c>
      <c r="B454" s="6" t="s">
        <v>18</v>
      </c>
      <c r="C454" s="6">
        <v>21483</v>
      </c>
      <c r="D454" s="6">
        <v>1774329</v>
      </c>
      <c r="E454" s="7">
        <f>SUMIFS(Лист2!C:C,Лист2!B:B,Лист1!B454,Лист2!A:A,Лист1!A454)</f>
        <v>17</v>
      </c>
      <c r="F454" s="7">
        <f>SUMIFS(Лист2!$D:$D,Лист2!$B:$B,Лист1!$B454,Лист2!$A:$A,Лист1!$A454)</f>
        <v>1268</v>
      </c>
      <c r="G454" s="7">
        <f>SUMIFS(Лист2!$E:$E,Лист2!$B:$B,Лист1!$B454,Лист2!$A:$A,Лист1!$A454)</f>
        <v>1129</v>
      </c>
      <c r="H454" s="14">
        <f t="shared" si="14"/>
        <v>104372.29411764706</v>
      </c>
      <c r="I454">
        <f t="shared" si="15"/>
        <v>21</v>
      </c>
    </row>
    <row r="455" spans="1:9" ht="14.25" customHeight="1" x14ac:dyDescent="0.3">
      <c r="A455" s="8">
        <v>43983</v>
      </c>
      <c r="B455" s="9" t="s">
        <v>18</v>
      </c>
      <c r="C455" s="9">
        <v>16687.5</v>
      </c>
      <c r="D455" s="9">
        <v>1526608.5</v>
      </c>
      <c r="E455" s="7">
        <f>SUMIFS(Лист2!C:C,Лист2!B:B,Лист1!B455,Лист2!A:A,Лист1!A455)</f>
        <v>17</v>
      </c>
      <c r="F455" s="7">
        <f>SUMIFS(Лист2!$D:$D,Лист2!$B:$B,Лист1!$B455,Лист2!$A:$A,Лист1!$A455)</f>
        <v>1185</v>
      </c>
      <c r="G455" s="7">
        <f>SUMIFS(Лист2!$E:$E,Лист2!$B:$B,Лист1!$B455,Лист2!$A:$A,Лист1!$A455)</f>
        <v>1042</v>
      </c>
      <c r="H455" s="14">
        <f t="shared" si="14"/>
        <v>89800.5</v>
      </c>
      <c r="I455">
        <f t="shared" si="15"/>
        <v>23</v>
      </c>
    </row>
    <row r="456" spans="1:9" ht="14.25" customHeight="1" x14ac:dyDescent="0.3">
      <c r="A456" s="5">
        <v>43962</v>
      </c>
      <c r="B456" s="6" t="s">
        <v>18</v>
      </c>
      <c r="C456" s="6">
        <v>12238.5</v>
      </c>
      <c r="D456" s="6">
        <v>1096002</v>
      </c>
      <c r="E456" s="7">
        <f>SUMIFS(Лист2!C:C,Лист2!B:B,Лист1!B456,Лист2!A:A,Лист1!A456)</f>
        <v>15</v>
      </c>
      <c r="F456" s="7">
        <f>SUMIFS(Лист2!$D:$D,Лист2!$B:$B,Лист1!$B456,Лист2!$A:$A,Лист1!$A456)</f>
        <v>812</v>
      </c>
      <c r="G456" s="7">
        <f>SUMIFS(Лист2!$E:$E,Лист2!$B:$B,Лист1!$B456,Лист2!$A:$A,Лист1!$A456)</f>
        <v>714</v>
      </c>
      <c r="H456" s="14">
        <f t="shared" si="14"/>
        <v>73066.8</v>
      </c>
      <c r="I456">
        <f t="shared" si="15"/>
        <v>20</v>
      </c>
    </row>
    <row r="457" spans="1:9" ht="14.25" customHeight="1" x14ac:dyDescent="0.3">
      <c r="A457" s="8">
        <v>43969</v>
      </c>
      <c r="B457" s="9" t="s">
        <v>18</v>
      </c>
      <c r="C457" s="9">
        <v>14290.5</v>
      </c>
      <c r="D457" s="9">
        <v>1246162.5</v>
      </c>
      <c r="E457" s="7">
        <f>SUMIFS(Лист2!C:C,Лист2!B:B,Лист1!B457,Лист2!A:A,Лист1!A457)</f>
        <v>16</v>
      </c>
      <c r="F457" s="7">
        <f>SUMIFS(Лист2!$D:$D,Лист2!$B:$B,Лист1!$B457,Лист2!$A:$A,Лист1!$A457)</f>
        <v>925</v>
      </c>
      <c r="G457" s="7">
        <f>SUMIFS(Лист2!$E:$E,Лист2!$B:$B,Лист1!$B457,Лист2!$A:$A,Лист1!$A457)</f>
        <v>816</v>
      </c>
      <c r="H457" s="14">
        <f t="shared" si="14"/>
        <v>77885.15625</v>
      </c>
      <c r="I457">
        <f t="shared" si="15"/>
        <v>21</v>
      </c>
    </row>
    <row r="458" spans="1:9" ht="14.25" customHeight="1" x14ac:dyDescent="0.3">
      <c r="A458" s="5">
        <v>43965</v>
      </c>
      <c r="B458" s="6" t="s">
        <v>18</v>
      </c>
      <c r="C458" s="6">
        <v>14385</v>
      </c>
      <c r="D458" s="6">
        <v>1223491.5</v>
      </c>
      <c r="E458" s="7">
        <f>SUMIFS(Лист2!C:C,Лист2!B:B,Лист1!B458,Лист2!A:A,Лист1!A458)</f>
        <v>15</v>
      </c>
      <c r="F458" s="7">
        <f>SUMIFS(Лист2!$D:$D,Лист2!$B:$B,Лист1!$B458,Лист2!$A:$A,Лист1!$A458)</f>
        <v>890</v>
      </c>
      <c r="G458" s="7">
        <f>SUMIFS(Лист2!$E:$E,Лист2!$B:$B,Лист1!$B458,Лист2!$A:$A,Лист1!$A458)</f>
        <v>777</v>
      </c>
      <c r="H458" s="14">
        <f t="shared" si="14"/>
        <v>81566.100000000006</v>
      </c>
      <c r="I458">
        <f t="shared" si="15"/>
        <v>20</v>
      </c>
    </row>
    <row r="459" spans="1:9" ht="14.25" customHeight="1" x14ac:dyDescent="0.3">
      <c r="A459" s="8">
        <v>43966</v>
      </c>
      <c r="B459" s="9" t="s">
        <v>18</v>
      </c>
      <c r="C459" s="9">
        <v>16498.5</v>
      </c>
      <c r="D459" s="9">
        <v>1370482.5</v>
      </c>
      <c r="E459" s="7">
        <f>SUMIFS(Лист2!C:C,Лист2!B:B,Лист1!B459,Лист2!A:A,Лист1!A459)</f>
        <v>15</v>
      </c>
      <c r="F459" s="7">
        <f>SUMIFS(Лист2!$D:$D,Лист2!$B:$B,Лист1!$B459,Лист2!$A:$A,Лист1!$A459)</f>
        <v>980</v>
      </c>
      <c r="G459" s="7">
        <f>SUMIFS(Лист2!$E:$E,Лист2!$B:$B,Лист1!$B459,Лист2!$A:$A,Лист1!$A459)</f>
        <v>867</v>
      </c>
      <c r="H459" s="14">
        <f t="shared" si="14"/>
        <v>91365.5</v>
      </c>
      <c r="I459">
        <f t="shared" si="15"/>
        <v>20</v>
      </c>
    </row>
    <row r="460" spans="1:9" ht="14.25" customHeight="1" x14ac:dyDescent="0.3">
      <c r="A460" s="5">
        <v>43978</v>
      </c>
      <c r="B460" s="6" t="s">
        <v>19</v>
      </c>
      <c r="C460" s="6">
        <v>13203</v>
      </c>
      <c r="D460" s="6">
        <v>1211457</v>
      </c>
      <c r="E460" s="7">
        <f>SUMIFS(Лист2!C:C,Лист2!B:B,Лист1!B460,Лист2!A:A,Лист1!A460)</f>
        <v>15</v>
      </c>
      <c r="F460" s="7">
        <f>SUMIFS(Лист2!$D:$D,Лист2!$B:$B,Лист1!$B460,Лист2!$A:$A,Лист1!$A460)</f>
        <v>809</v>
      </c>
      <c r="G460" s="7">
        <f>SUMIFS(Лист2!$E:$E,Лист2!$B:$B,Лист1!$B460,Лист2!$A:$A,Лист1!$A460)</f>
        <v>702</v>
      </c>
      <c r="H460" s="14">
        <f t="shared" si="14"/>
        <v>80763.8</v>
      </c>
      <c r="I460">
        <f t="shared" si="15"/>
        <v>22</v>
      </c>
    </row>
    <row r="461" spans="1:9" ht="14.25" customHeight="1" x14ac:dyDescent="0.3">
      <c r="A461" s="8">
        <v>43973</v>
      </c>
      <c r="B461" s="9" t="s">
        <v>19</v>
      </c>
      <c r="C461" s="9">
        <v>15802.5</v>
      </c>
      <c r="D461" s="9">
        <v>1411909.5</v>
      </c>
      <c r="E461" s="7">
        <f>SUMIFS(Лист2!C:C,Лист2!B:B,Лист1!B461,Лист2!A:A,Лист1!A461)</f>
        <v>15</v>
      </c>
      <c r="F461" s="7">
        <f>SUMIFS(Лист2!$D:$D,Лист2!$B:$B,Лист1!$B461,Лист2!$A:$A,Лист1!$A461)</f>
        <v>903</v>
      </c>
      <c r="G461" s="7">
        <f>SUMIFS(Лист2!$E:$E,Лист2!$B:$B,Лист1!$B461,Лист2!$A:$A,Лист1!$A461)</f>
        <v>792</v>
      </c>
      <c r="H461" s="14">
        <f t="shared" si="14"/>
        <v>94127.3</v>
      </c>
      <c r="I461">
        <f t="shared" si="15"/>
        <v>21</v>
      </c>
    </row>
    <row r="462" spans="1:9" ht="14.25" customHeight="1" x14ac:dyDescent="0.3">
      <c r="A462" s="5">
        <v>43983</v>
      </c>
      <c r="B462" s="6" t="s">
        <v>19</v>
      </c>
      <c r="C462" s="6">
        <v>16476</v>
      </c>
      <c r="D462" s="6">
        <v>1565632.5</v>
      </c>
      <c r="E462" s="7">
        <f>SUMIFS(Лист2!C:C,Лист2!B:B,Лист1!B462,Лист2!A:A,Лист1!A462)</f>
        <v>16</v>
      </c>
      <c r="F462" s="7">
        <f>SUMIFS(Лист2!$D:$D,Лист2!$B:$B,Лист1!$B462,Лист2!$A:$A,Лист1!$A462)</f>
        <v>1019</v>
      </c>
      <c r="G462" s="7">
        <f>SUMIFS(Лист2!$E:$E,Лист2!$B:$B,Лист1!$B462,Лист2!$A:$A,Лист1!$A462)</f>
        <v>895</v>
      </c>
      <c r="H462" s="14">
        <f t="shared" si="14"/>
        <v>97852.03125</v>
      </c>
      <c r="I462">
        <f t="shared" si="15"/>
        <v>23</v>
      </c>
    </row>
    <row r="463" spans="1:9" ht="14.25" customHeight="1" x14ac:dyDescent="0.3">
      <c r="A463" s="8">
        <v>43962</v>
      </c>
      <c r="B463" s="9" t="s">
        <v>19</v>
      </c>
      <c r="C463" s="9">
        <v>12654</v>
      </c>
      <c r="D463" s="9">
        <v>1081158</v>
      </c>
      <c r="E463" s="7">
        <f>SUMIFS(Лист2!C:C,Лист2!B:B,Лист1!B463,Лист2!A:A,Лист1!A463)</f>
        <v>15</v>
      </c>
      <c r="F463" s="7">
        <f>SUMIFS(Лист2!$D:$D,Лист2!$B:$B,Лист1!$B463,Лист2!$A:$A,Лист1!$A463)</f>
        <v>684</v>
      </c>
      <c r="G463" s="7">
        <f>SUMIFS(Лист2!$E:$E,Лист2!$B:$B,Лист1!$B463,Лист2!$A:$A,Лист1!$A463)</f>
        <v>585</v>
      </c>
      <c r="H463" s="14">
        <f t="shared" si="14"/>
        <v>72077.2</v>
      </c>
      <c r="I463">
        <f t="shared" si="15"/>
        <v>20</v>
      </c>
    </row>
    <row r="464" spans="1:9" ht="14.25" customHeight="1" x14ac:dyDescent="0.3">
      <c r="A464" s="5">
        <v>43980</v>
      </c>
      <c r="B464" s="6" t="s">
        <v>18</v>
      </c>
      <c r="C464" s="6">
        <v>19647</v>
      </c>
      <c r="D464" s="6">
        <v>1764669</v>
      </c>
      <c r="E464" s="7">
        <f>SUMIFS(Лист2!C:C,Лист2!B:B,Лист1!B464,Лист2!A:A,Лист1!A464)</f>
        <v>17</v>
      </c>
      <c r="F464" s="7">
        <f>SUMIFS(Лист2!$D:$D,Лист2!$B:$B,Лист1!$B464,Лист2!$A:$A,Лист1!$A464)</f>
        <v>1296</v>
      </c>
      <c r="G464" s="7">
        <f>SUMIFS(Лист2!$E:$E,Лист2!$B:$B,Лист1!$B464,Лист2!$A:$A,Лист1!$A464)</f>
        <v>1153</v>
      </c>
      <c r="H464" s="14">
        <f t="shared" si="14"/>
        <v>103804.05882352941</v>
      </c>
      <c r="I464">
        <f t="shared" si="15"/>
        <v>22</v>
      </c>
    </row>
    <row r="465" spans="1:9" ht="14.25" customHeight="1" x14ac:dyDescent="0.3">
      <c r="A465" s="8">
        <v>43969</v>
      </c>
      <c r="B465" s="9" t="s">
        <v>19</v>
      </c>
      <c r="C465" s="9">
        <v>12450</v>
      </c>
      <c r="D465" s="9">
        <v>1115146.5</v>
      </c>
      <c r="E465" s="7">
        <f>SUMIFS(Лист2!C:C,Лист2!B:B,Лист1!B465,Лист2!A:A,Лист1!A465)</f>
        <v>15</v>
      </c>
      <c r="F465" s="7">
        <f>SUMIFS(Лист2!$D:$D,Лист2!$B:$B,Лист1!$B465,Лист2!$A:$A,Лист1!$A465)</f>
        <v>729</v>
      </c>
      <c r="G465" s="7">
        <f>SUMIFS(Лист2!$E:$E,Лист2!$B:$B,Лист1!$B465,Лист2!$A:$A,Лист1!$A465)</f>
        <v>636</v>
      </c>
      <c r="H465" s="14">
        <f t="shared" si="14"/>
        <v>74343.100000000006</v>
      </c>
      <c r="I465">
        <f t="shared" si="15"/>
        <v>21</v>
      </c>
    </row>
    <row r="466" spans="1:9" ht="14.25" customHeight="1" x14ac:dyDescent="0.3">
      <c r="A466" s="5">
        <v>43965</v>
      </c>
      <c r="B466" s="6" t="s">
        <v>19</v>
      </c>
      <c r="C466" s="6">
        <v>11161.5</v>
      </c>
      <c r="D466" s="6">
        <v>963502.5</v>
      </c>
      <c r="E466" s="7">
        <f>SUMIFS(Лист2!C:C,Лист2!B:B,Лист1!B466,Лист2!A:A,Лист1!A466)</f>
        <v>15</v>
      </c>
      <c r="F466" s="7">
        <f>SUMIFS(Лист2!$D:$D,Лист2!$B:$B,Лист1!$B466,Лист2!$A:$A,Лист1!$A466)</f>
        <v>638</v>
      </c>
      <c r="G466" s="7">
        <f>SUMIFS(Лист2!$E:$E,Лист2!$B:$B,Лист1!$B466,Лист2!$A:$A,Лист1!$A466)</f>
        <v>548</v>
      </c>
      <c r="H466" s="14">
        <f t="shared" si="14"/>
        <v>64233.5</v>
      </c>
      <c r="I466">
        <f t="shared" si="15"/>
        <v>20</v>
      </c>
    </row>
    <row r="467" spans="1:9" ht="14.25" customHeight="1" x14ac:dyDescent="0.3">
      <c r="A467" s="8">
        <v>43966</v>
      </c>
      <c r="B467" s="9" t="s">
        <v>19</v>
      </c>
      <c r="C467" s="9">
        <v>12229.5</v>
      </c>
      <c r="D467" s="9">
        <v>1122730.5</v>
      </c>
      <c r="E467" s="7">
        <f>SUMIFS(Лист2!C:C,Лист2!B:B,Лист1!B467,Лист2!A:A,Лист1!A467)</f>
        <v>15</v>
      </c>
      <c r="F467" s="7">
        <f>SUMIFS(Лист2!$D:$D,Лист2!$B:$B,Лист1!$B467,Лист2!$A:$A,Лист1!$A467)</f>
        <v>688</v>
      </c>
      <c r="G467" s="7">
        <f>SUMIFS(Лист2!$E:$E,Лист2!$B:$B,Лист1!$B467,Лист2!$A:$A,Лист1!$A467)</f>
        <v>598</v>
      </c>
      <c r="H467" s="14">
        <f t="shared" si="14"/>
        <v>74848.7</v>
      </c>
      <c r="I467">
        <f t="shared" si="15"/>
        <v>20</v>
      </c>
    </row>
    <row r="468" spans="1:9" ht="14.25" customHeight="1" x14ac:dyDescent="0.3">
      <c r="A468" s="5">
        <v>43978</v>
      </c>
      <c r="B468" s="6" t="s">
        <v>20</v>
      </c>
      <c r="C468" s="6">
        <v>28050</v>
      </c>
      <c r="D468" s="6">
        <v>2458555.5</v>
      </c>
      <c r="E468" s="7">
        <f>SUMIFS(Лист2!C:C,Лист2!B:B,Лист1!B468,Лист2!A:A,Лист1!A468)</f>
        <v>20</v>
      </c>
      <c r="F468" s="7">
        <f>SUMIFS(Лист2!$D:$D,Лист2!$B:$B,Лист1!$B468,Лист2!$A:$A,Лист1!$A468)</f>
        <v>1873</v>
      </c>
      <c r="G468" s="7">
        <f>SUMIFS(Лист2!$E:$E,Лист2!$B:$B,Лист1!$B468,Лист2!$A:$A,Лист1!$A468)</f>
        <v>1715</v>
      </c>
      <c r="H468" s="14">
        <f t="shared" si="14"/>
        <v>122927.77499999999</v>
      </c>
      <c r="I468">
        <f t="shared" si="15"/>
        <v>22</v>
      </c>
    </row>
    <row r="469" spans="1:9" ht="14.25" customHeight="1" x14ac:dyDescent="0.3">
      <c r="A469" s="8">
        <v>43973</v>
      </c>
      <c r="B469" s="9" t="s">
        <v>20</v>
      </c>
      <c r="C469" s="9">
        <v>30781.5</v>
      </c>
      <c r="D469" s="9">
        <v>2540715</v>
      </c>
      <c r="E469" s="7">
        <f>SUMIFS(Лист2!C:C,Лист2!B:B,Лист1!B469,Лист2!A:A,Лист1!A469)</f>
        <v>19</v>
      </c>
      <c r="F469" s="7">
        <f>SUMIFS(Лист2!$D:$D,Лист2!$B:$B,Лист1!$B469,Лист2!$A:$A,Лист1!$A469)</f>
        <v>1859</v>
      </c>
      <c r="G469" s="7">
        <f>SUMIFS(Лист2!$E:$E,Лист2!$B:$B,Лист1!$B469,Лист2!$A:$A,Лист1!$A469)</f>
        <v>1697</v>
      </c>
      <c r="H469" s="14">
        <f t="shared" si="14"/>
        <v>133721.84210526315</v>
      </c>
      <c r="I469">
        <f t="shared" si="15"/>
        <v>21</v>
      </c>
    </row>
    <row r="470" spans="1:9" ht="14.25" customHeight="1" x14ac:dyDescent="0.3">
      <c r="A470" s="5">
        <v>43983</v>
      </c>
      <c r="B470" s="6" t="s">
        <v>20</v>
      </c>
      <c r="C470" s="6">
        <v>27960</v>
      </c>
      <c r="D470" s="6">
        <v>2538967.5</v>
      </c>
      <c r="E470" s="7">
        <f>SUMIFS(Лист2!C:C,Лист2!B:B,Лист1!B470,Лист2!A:A,Лист1!A470)</f>
        <v>21</v>
      </c>
      <c r="F470" s="7">
        <f>SUMIFS(Лист2!$D:$D,Лист2!$B:$B,Лист1!$B470,Лист2!$A:$A,Лист1!$A470)</f>
        <v>1879</v>
      </c>
      <c r="G470" s="7">
        <f>SUMIFS(Лист2!$E:$E,Лист2!$B:$B,Лист1!$B470,Лист2!$A:$A,Лист1!$A470)</f>
        <v>1720</v>
      </c>
      <c r="H470" s="14">
        <f t="shared" si="14"/>
        <v>120903.21428571429</v>
      </c>
      <c r="I470">
        <f t="shared" si="15"/>
        <v>23</v>
      </c>
    </row>
    <row r="471" spans="1:9" ht="14.25" customHeight="1" x14ac:dyDescent="0.3">
      <c r="A471" s="8">
        <v>43962</v>
      </c>
      <c r="B471" s="9" t="s">
        <v>20</v>
      </c>
      <c r="C471" s="9">
        <v>23629.5</v>
      </c>
      <c r="D471" s="9">
        <v>2164365</v>
      </c>
      <c r="E471" s="7">
        <f>SUMIFS(Лист2!C:C,Лист2!B:B,Лист1!B471,Лист2!A:A,Лист1!A471)</f>
        <v>19</v>
      </c>
      <c r="F471" s="7">
        <f>SUMIFS(Лист2!$D:$D,Лист2!$B:$B,Лист1!$B471,Лист2!$A:$A,Лист1!$A471)</f>
        <v>1527</v>
      </c>
      <c r="G471" s="7">
        <f>SUMIFS(Лист2!$E:$E,Лист2!$B:$B,Лист1!$B471,Лист2!$A:$A,Лист1!$A471)</f>
        <v>1389</v>
      </c>
      <c r="H471" s="14">
        <f t="shared" si="14"/>
        <v>113913.94736842105</v>
      </c>
      <c r="I471">
        <f t="shared" si="15"/>
        <v>20</v>
      </c>
    </row>
    <row r="472" spans="1:9" ht="14.25" customHeight="1" x14ac:dyDescent="0.3">
      <c r="A472" s="5">
        <v>43980</v>
      </c>
      <c r="B472" s="6" t="s">
        <v>19</v>
      </c>
      <c r="C472" s="6">
        <v>17052</v>
      </c>
      <c r="D472" s="6">
        <v>1549020</v>
      </c>
      <c r="E472" s="7">
        <f>SUMIFS(Лист2!C:C,Лист2!B:B,Лист1!B472,Лист2!A:A,Лист1!A472)</f>
        <v>16</v>
      </c>
      <c r="F472" s="7">
        <f>SUMIFS(Лист2!$D:$D,Лист2!$B:$B,Лист1!$B472,Лист2!$A:$A,Лист1!$A472)</f>
        <v>981</v>
      </c>
      <c r="G472" s="7">
        <f>SUMIFS(Лист2!$E:$E,Лист2!$B:$B,Лист1!$B472,Лист2!$A:$A,Лист1!$A472)</f>
        <v>859</v>
      </c>
      <c r="H472" s="14">
        <f t="shared" si="14"/>
        <v>96813.75</v>
      </c>
      <c r="I472">
        <f t="shared" si="15"/>
        <v>22</v>
      </c>
    </row>
    <row r="473" spans="1:9" ht="14.25" customHeight="1" x14ac:dyDescent="0.3">
      <c r="A473" s="8">
        <v>43969</v>
      </c>
      <c r="B473" s="9" t="s">
        <v>20</v>
      </c>
      <c r="C473" s="9">
        <v>27181.5</v>
      </c>
      <c r="D473" s="9">
        <v>2324490</v>
      </c>
      <c r="E473" s="7">
        <f>SUMIFS(Лист2!C:C,Лист2!B:B,Лист1!B473,Лист2!A:A,Лист1!A473)</f>
        <v>19</v>
      </c>
      <c r="F473" s="7">
        <f>SUMIFS(Лист2!$D:$D,Лист2!$B:$B,Лист1!$B473,Лист2!$A:$A,Лист1!$A473)</f>
        <v>1741</v>
      </c>
      <c r="G473" s="7">
        <f>SUMIFS(Лист2!$E:$E,Лист2!$B:$B,Лист1!$B473,Лист2!$A:$A,Лист1!$A473)</f>
        <v>1597</v>
      </c>
      <c r="H473" s="14">
        <f t="shared" si="14"/>
        <v>122341.57894736843</v>
      </c>
      <c r="I473">
        <f t="shared" si="15"/>
        <v>21</v>
      </c>
    </row>
    <row r="474" spans="1:9" ht="14.25" customHeight="1" x14ac:dyDescent="0.3">
      <c r="A474" s="5">
        <v>43965</v>
      </c>
      <c r="B474" s="6" t="s">
        <v>20</v>
      </c>
      <c r="C474" s="6">
        <v>25656</v>
      </c>
      <c r="D474" s="6">
        <v>2225341.5</v>
      </c>
      <c r="E474" s="7">
        <f>SUMIFS(Лист2!C:C,Лист2!B:B,Лист1!B474,Лист2!A:A,Лист1!A474)</f>
        <v>19</v>
      </c>
      <c r="F474" s="7">
        <f>SUMIFS(Лист2!$D:$D,Лист2!$B:$B,Лист1!$B474,Лист2!$A:$A,Лист1!$A474)</f>
        <v>1635</v>
      </c>
      <c r="G474" s="7">
        <f>SUMIFS(Лист2!$E:$E,Лист2!$B:$B,Лист1!$B474,Лист2!$A:$A,Лист1!$A474)</f>
        <v>1487</v>
      </c>
      <c r="H474" s="14">
        <f t="shared" si="14"/>
        <v>117123.23684210527</v>
      </c>
      <c r="I474">
        <f t="shared" si="15"/>
        <v>20</v>
      </c>
    </row>
    <row r="475" spans="1:9" ht="14.25" customHeight="1" x14ac:dyDescent="0.3">
      <c r="A475" s="8">
        <v>43966</v>
      </c>
      <c r="B475" s="9" t="s">
        <v>20</v>
      </c>
      <c r="C475" s="9">
        <v>29283</v>
      </c>
      <c r="D475" s="9">
        <v>2477487</v>
      </c>
      <c r="E475" s="7">
        <f>SUMIFS(Лист2!C:C,Лист2!B:B,Лист1!B475,Лист2!A:A,Лист1!A475)</f>
        <v>19</v>
      </c>
      <c r="F475" s="7">
        <f>SUMIFS(Лист2!$D:$D,Лист2!$B:$B,Лист1!$B475,Лист2!$A:$A,Лист1!$A475)</f>
        <v>1780</v>
      </c>
      <c r="G475" s="7">
        <f>SUMIFS(Лист2!$E:$E,Лист2!$B:$B,Лист1!$B475,Лист2!$A:$A,Лист1!$A475)</f>
        <v>1615</v>
      </c>
      <c r="H475" s="14">
        <f t="shared" si="14"/>
        <v>130394.05263157895</v>
      </c>
      <c r="I475">
        <f t="shared" si="15"/>
        <v>20</v>
      </c>
    </row>
    <row r="476" spans="1:9" ht="14.25" customHeight="1" x14ac:dyDescent="0.3">
      <c r="A476" s="5">
        <v>43980</v>
      </c>
      <c r="B476" s="6" t="s">
        <v>20</v>
      </c>
      <c r="C476" s="6">
        <v>32782.5</v>
      </c>
      <c r="D476" s="6">
        <v>2854741.5</v>
      </c>
      <c r="E476" s="7">
        <f>SUMIFS(Лист2!C:C,Лист2!B:B,Лист1!B476,Лист2!A:A,Лист1!A476)</f>
        <v>20</v>
      </c>
      <c r="F476" s="7">
        <f>SUMIFS(Лист2!$D:$D,Лист2!$B:$B,Лист1!$B476,Лист2!$A:$A,Лист1!$A476)</f>
        <v>2064</v>
      </c>
      <c r="G476" s="7">
        <f>SUMIFS(Лист2!$E:$E,Лист2!$B:$B,Лист1!$B476,Лист2!$A:$A,Лист1!$A476)</f>
        <v>1896</v>
      </c>
      <c r="H476" s="14">
        <f t="shared" si="14"/>
        <v>142737.07500000001</v>
      </c>
      <c r="I476">
        <f t="shared" si="15"/>
        <v>22</v>
      </c>
    </row>
    <row r="477" spans="1:9" ht="14.25" customHeight="1" x14ac:dyDescent="0.3">
      <c r="A477" s="8">
        <v>43978</v>
      </c>
      <c r="B477" s="9" t="s">
        <v>21</v>
      </c>
      <c r="C477" s="9">
        <v>215592</v>
      </c>
      <c r="D477" s="9">
        <v>22342300.5</v>
      </c>
      <c r="E477" s="7">
        <f>SUMIFS(Лист2!C:C,Лист2!B:B,Лист1!B477,Лист2!A:A,Лист1!A477)</f>
        <v>59</v>
      </c>
      <c r="F477" s="7">
        <f>SUMIFS(Лист2!$D:$D,Лист2!$B:$B,Лист1!$B477,Лист2!$A:$A,Лист1!$A477)</f>
        <v>13942</v>
      </c>
      <c r="G477" s="7">
        <f>SUMIFS(Лист2!$E:$E,Лист2!$B:$B,Лист1!$B477,Лист2!$A:$A,Лист1!$A477)</f>
        <v>12986</v>
      </c>
      <c r="H477" s="14">
        <f t="shared" si="14"/>
        <v>378683.05932203389</v>
      </c>
      <c r="I477">
        <f t="shared" si="15"/>
        <v>22</v>
      </c>
    </row>
    <row r="478" spans="1:9" ht="14.25" customHeight="1" x14ac:dyDescent="0.3">
      <c r="A478" s="5">
        <v>43973</v>
      </c>
      <c r="B478" s="6" t="s">
        <v>21</v>
      </c>
      <c r="C478" s="6">
        <v>228334.5</v>
      </c>
      <c r="D478" s="6">
        <v>22380772.5</v>
      </c>
      <c r="E478" s="7">
        <f>SUMIFS(Лист2!C:C,Лист2!B:B,Лист1!B478,Лист2!A:A,Лист1!A478)</f>
        <v>60</v>
      </c>
      <c r="F478" s="7">
        <f>SUMIFS(Лист2!$D:$D,Лист2!$B:$B,Лист1!$B478,Лист2!$A:$A,Лист1!$A478)</f>
        <v>14050</v>
      </c>
      <c r="G478" s="7">
        <f>SUMIFS(Лист2!$E:$E,Лист2!$B:$B,Лист1!$B478,Лист2!$A:$A,Лист1!$A478)</f>
        <v>13027</v>
      </c>
      <c r="H478" s="14">
        <f t="shared" si="14"/>
        <v>373012.875</v>
      </c>
      <c r="I478">
        <f t="shared" si="15"/>
        <v>21</v>
      </c>
    </row>
    <row r="479" spans="1:9" ht="14.25" customHeight="1" x14ac:dyDescent="0.3">
      <c r="A479" s="8">
        <v>43983</v>
      </c>
      <c r="B479" s="9" t="s">
        <v>21</v>
      </c>
      <c r="C479" s="9">
        <v>188776.5</v>
      </c>
      <c r="D479" s="9">
        <v>19465372.5</v>
      </c>
      <c r="E479" s="7">
        <f>SUMIFS(Лист2!C:C,Лист2!B:B,Лист1!B479,Лист2!A:A,Лист1!A479)</f>
        <v>59</v>
      </c>
      <c r="F479" s="7">
        <f>SUMIFS(Лист2!$D:$D,Лист2!$B:$B,Лист1!$B479,Лист2!$A:$A,Лист1!$A479)</f>
        <v>12299</v>
      </c>
      <c r="G479" s="7">
        <f>SUMIFS(Лист2!$E:$E,Лист2!$B:$B,Лист1!$B479,Лист2!$A:$A,Лист1!$A479)</f>
        <v>11448</v>
      </c>
      <c r="H479" s="14">
        <f t="shared" si="14"/>
        <v>329921.56779661018</v>
      </c>
      <c r="I479">
        <f t="shared" si="15"/>
        <v>23</v>
      </c>
    </row>
    <row r="480" spans="1:9" ht="14.25" customHeight="1" x14ac:dyDescent="0.3">
      <c r="A480" s="5">
        <v>43962</v>
      </c>
      <c r="B480" s="6" t="s">
        <v>21</v>
      </c>
      <c r="C480" s="6">
        <v>175293</v>
      </c>
      <c r="D480" s="6">
        <v>17919144</v>
      </c>
      <c r="E480" s="7">
        <f>SUMIFS(Лист2!C:C,Лист2!B:B,Лист1!B480,Лист2!A:A,Лист1!A480)</f>
        <v>60</v>
      </c>
      <c r="F480" s="7">
        <f>SUMIFS(Лист2!$D:$D,Лист2!$B:$B,Лист1!$B480,Лист2!$A:$A,Лист1!$A480)</f>
        <v>11100</v>
      </c>
      <c r="G480" s="7">
        <f>SUMIFS(Лист2!$E:$E,Лист2!$B:$B,Лист1!$B480,Лист2!$A:$A,Лист1!$A480)</f>
        <v>10407</v>
      </c>
      <c r="H480" s="14">
        <f t="shared" si="14"/>
        <v>298652.40000000002</v>
      </c>
      <c r="I480">
        <f t="shared" si="15"/>
        <v>20</v>
      </c>
    </row>
    <row r="481" spans="1:9" ht="14.25" customHeight="1" x14ac:dyDescent="0.3">
      <c r="A481" s="8">
        <v>43969</v>
      </c>
      <c r="B481" s="9" t="s">
        <v>21</v>
      </c>
      <c r="C481" s="9">
        <v>201999</v>
      </c>
      <c r="D481" s="9">
        <v>20422435.5</v>
      </c>
      <c r="E481" s="7">
        <f>SUMIFS(Лист2!C:C,Лист2!B:B,Лист1!B481,Лист2!A:A,Лист1!A481)</f>
        <v>60</v>
      </c>
      <c r="F481" s="7">
        <f>SUMIFS(Лист2!$D:$D,Лист2!$B:$B,Лист1!$B481,Лист2!$A:$A,Лист1!$A481)</f>
        <v>12460</v>
      </c>
      <c r="G481" s="7">
        <f>SUMIFS(Лист2!$E:$E,Лист2!$B:$B,Лист1!$B481,Лист2!$A:$A,Лист1!$A481)</f>
        <v>11665</v>
      </c>
      <c r="H481" s="14">
        <f t="shared" si="14"/>
        <v>340373.92499999999</v>
      </c>
      <c r="I481">
        <f t="shared" si="15"/>
        <v>21</v>
      </c>
    </row>
    <row r="482" spans="1:9" ht="14.25" customHeight="1" x14ac:dyDescent="0.3">
      <c r="A482" s="5">
        <v>43965</v>
      </c>
      <c r="B482" s="6" t="s">
        <v>21</v>
      </c>
      <c r="C482" s="6">
        <v>197946</v>
      </c>
      <c r="D482" s="6">
        <v>19942435.5</v>
      </c>
      <c r="E482" s="7">
        <f>SUMIFS(Лист2!C:C,Лист2!B:B,Лист1!B482,Лист2!A:A,Лист1!A482)</f>
        <v>60</v>
      </c>
      <c r="F482" s="7">
        <f>SUMIFS(Лист2!$D:$D,Лист2!$B:$B,Лист1!$B482,Лист2!$A:$A,Лист1!$A482)</f>
        <v>11935</v>
      </c>
      <c r="G482" s="7">
        <f>SUMIFS(Лист2!$E:$E,Лист2!$B:$B,Лист1!$B482,Лист2!$A:$A,Лист1!$A482)</f>
        <v>11178</v>
      </c>
      <c r="H482" s="14">
        <f t="shared" si="14"/>
        <v>332373.92499999999</v>
      </c>
      <c r="I482">
        <f t="shared" si="15"/>
        <v>20</v>
      </c>
    </row>
    <row r="483" spans="1:9" ht="14.25" customHeight="1" x14ac:dyDescent="0.3">
      <c r="A483" s="8">
        <v>43966</v>
      </c>
      <c r="B483" s="9" t="s">
        <v>21</v>
      </c>
      <c r="C483" s="9">
        <v>230896.5</v>
      </c>
      <c r="D483" s="9">
        <v>23085222</v>
      </c>
      <c r="E483" s="7">
        <f>SUMIFS(Лист2!C:C,Лист2!B:B,Лист1!B483,Лист2!A:A,Лист1!A483)</f>
        <v>60</v>
      </c>
      <c r="F483" s="7">
        <f>SUMIFS(Лист2!$D:$D,Лист2!$B:$B,Лист1!$B483,Лист2!$A:$A,Лист1!$A483)</f>
        <v>13544</v>
      </c>
      <c r="G483" s="7">
        <f>SUMIFS(Лист2!$E:$E,Лист2!$B:$B,Лист1!$B483,Лист2!$A:$A,Лист1!$A483)</f>
        <v>12643</v>
      </c>
      <c r="H483" s="14">
        <f t="shared" si="14"/>
        <v>384753.7</v>
      </c>
      <c r="I483">
        <f t="shared" si="15"/>
        <v>20</v>
      </c>
    </row>
    <row r="484" spans="1:9" ht="14.25" customHeight="1" x14ac:dyDescent="0.3">
      <c r="A484" s="5">
        <v>43978</v>
      </c>
      <c r="B484" s="6" t="s">
        <v>22</v>
      </c>
      <c r="C484" s="6">
        <v>203532</v>
      </c>
      <c r="D484" s="6">
        <v>20953324.5</v>
      </c>
      <c r="E484" s="7">
        <f>SUMIFS(Лист2!C:C,Лист2!B:B,Лист1!B484,Лист2!A:A,Лист1!A484)</f>
        <v>54</v>
      </c>
      <c r="F484" s="7">
        <f>SUMIFS(Лист2!$D:$D,Лист2!$B:$B,Лист1!$B484,Лист2!$A:$A,Лист1!$A484)</f>
        <v>13091</v>
      </c>
      <c r="G484" s="7">
        <f>SUMIFS(Лист2!$E:$E,Лист2!$B:$B,Лист1!$B484,Лист2!$A:$A,Лист1!$A484)</f>
        <v>12216</v>
      </c>
      <c r="H484" s="14">
        <f t="shared" si="14"/>
        <v>388024.52777777775</v>
      </c>
      <c r="I484">
        <f t="shared" si="15"/>
        <v>22</v>
      </c>
    </row>
    <row r="485" spans="1:9" ht="14.25" customHeight="1" x14ac:dyDescent="0.3">
      <c r="A485" s="8">
        <v>43973</v>
      </c>
      <c r="B485" s="9" t="s">
        <v>22</v>
      </c>
      <c r="C485" s="9">
        <v>214428</v>
      </c>
      <c r="D485" s="9">
        <v>20812585.5</v>
      </c>
      <c r="E485" s="7">
        <f>SUMIFS(Лист2!C:C,Лист2!B:B,Лист1!B485,Лист2!A:A,Лист1!A485)</f>
        <v>54</v>
      </c>
      <c r="F485" s="7">
        <f>SUMIFS(Лист2!$D:$D,Лист2!$B:$B,Лист1!$B485,Лист2!$A:$A,Лист1!$A485)</f>
        <v>13014</v>
      </c>
      <c r="G485" s="7">
        <f>SUMIFS(Лист2!$E:$E,Лист2!$B:$B,Лист1!$B485,Лист2!$A:$A,Лист1!$A485)</f>
        <v>12095</v>
      </c>
      <c r="H485" s="14">
        <f t="shared" si="14"/>
        <v>385418.25</v>
      </c>
      <c r="I485">
        <f t="shared" si="15"/>
        <v>21</v>
      </c>
    </row>
    <row r="486" spans="1:9" ht="14.25" customHeight="1" x14ac:dyDescent="0.3">
      <c r="A486" s="5">
        <v>43983</v>
      </c>
      <c r="B486" s="6" t="s">
        <v>22</v>
      </c>
      <c r="C486" s="6">
        <v>183228</v>
      </c>
      <c r="D486" s="6">
        <v>18914194.5</v>
      </c>
      <c r="E486" s="7">
        <f>SUMIFS(Лист2!C:C,Лист2!B:B,Лист1!B486,Лист2!A:A,Лист1!A486)</f>
        <v>54</v>
      </c>
      <c r="F486" s="7">
        <f>SUMIFS(Лист2!$D:$D,Лист2!$B:$B,Лист1!$B486,Лист2!$A:$A,Лист1!$A486)</f>
        <v>11864</v>
      </c>
      <c r="G486" s="7">
        <f>SUMIFS(Лист2!$E:$E,Лист2!$B:$B,Лист1!$B486,Лист2!$A:$A,Лист1!$A486)</f>
        <v>11071</v>
      </c>
      <c r="H486" s="14">
        <f t="shared" si="14"/>
        <v>350262.86111111112</v>
      </c>
      <c r="I486">
        <f t="shared" si="15"/>
        <v>23</v>
      </c>
    </row>
    <row r="487" spans="1:9" ht="14.25" customHeight="1" x14ac:dyDescent="0.3">
      <c r="A487" s="8">
        <v>43962</v>
      </c>
      <c r="B487" s="9" t="s">
        <v>22</v>
      </c>
      <c r="C487" s="9">
        <v>166948.5</v>
      </c>
      <c r="D487" s="9">
        <v>16971231</v>
      </c>
      <c r="E487" s="7">
        <f>SUMIFS(Лист2!C:C,Лист2!B:B,Лист1!B487,Лист2!A:A,Лист1!A487)</f>
        <v>54</v>
      </c>
      <c r="F487" s="7">
        <f>SUMIFS(Лист2!$D:$D,Лист2!$B:$B,Лист1!$B487,Лист2!$A:$A,Лист1!$A487)</f>
        <v>10570</v>
      </c>
      <c r="G487" s="7">
        <f>SUMIFS(Лист2!$E:$E,Лист2!$B:$B,Лист1!$B487,Лист2!$A:$A,Лист1!$A487)</f>
        <v>9926</v>
      </c>
      <c r="H487" s="14">
        <f t="shared" si="14"/>
        <v>314282.05555555556</v>
      </c>
      <c r="I487">
        <f t="shared" si="15"/>
        <v>20</v>
      </c>
    </row>
    <row r="488" spans="1:9" ht="14.25" customHeight="1" x14ac:dyDescent="0.3">
      <c r="A488" s="5">
        <v>43980</v>
      </c>
      <c r="B488" s="6" t="s">
        <v>21</v>
      </c>
      <c r="C488" s="6">
        <v>232102.5</v>
      </c>
      <c r="D488" s="6">
        <v>23120443.5</v>
      </c>
      <c r="E488" s="7">
        <f>SUMIFS(Лист2!C:C,Лист2!B:B,Лист1!B488,Лист2!A:A,Лист1!A488)</f>
        <v>59</v>
      </c>
      <c r="F488" s="7">
        <f>SUMIFS(Лист2!$D:$D,Лист2!$B:$B,Лист1!$B488,Лист2!$A:$A,Лист1!$A488)</f>
        <v>14507</v>
      </c>
      <c r="G488" s="7">
        <f>SUMIFS(Лист2!$E:$E,Лист2!$B:$B,Лист1!$B488,Лист2!$A:$A,Лист1!$A488)</f>
        <v>13386</v>
      </c>
      <c r="H488" s="14">
        <f t="shared" si="14"/>
        <v>391871.92372881353</v>
      </c>
      <c r="I488">
        <f t="shared" si="15"/>
        <v>22</v>
      </c>
    </row>
    <row r="489" spans="1:9" ht="14.25" customHeight="1" x14ac:dyDescent="0.3">
      <c r="A489" s="8">
        <v>43969</v>
      </c>
      <c r="B489" s="9" t="s">
        <v>22</v>
      </c>
      <c r="C489" s="9">
        <v>196560</v>
      </c>
      <c r="D489" s="9">
        <v>19855122</v>
      </c>
      <c r="E489" s="7">
        <f>SUMIFS(Лист2!C:C,Лист2!B:B,Лист1!B489,Лист2!A:A,Лист1!A489)</f>
        <v>54</v>
      </c>
      <c r="F489" s="7">
        <f>SUMIFS(Лист2!$D:$D,Лист2!$B:$B,Лист1!$B489,Лист2!$A:$A,Лист1!$A489)</f>
        <v>12012</v>
      </c>
      <c r="G489" s="7">
        <f>SUMIFS(Лист2!$E:$E,Лист2!$B:$B,Лист1!$B489,Лист2!$A:$A,Лист1!$A489)</f>
        <v>11308</v>
      </c>
      <c r="H489" s="14">
        <f t="shared" si="14"/>
        <v>367687.44444444444</v>
      </c>
      <c r="I489">
        <f t="shared" si="15"/>
        <v>21</v>
      </c>
    </row>
    <row r="490" spans="1:9" ht="14.25" customHeight="1" x14ac:dyDescent="0.3">
      <c r="A490" s="5">
        <v>43965</v>
      </c>
      <c r="B490" s="6" t="s">
        <v>22</v>
      </c>
      <c r="C490" s="6">
        <v>186496.5</v>
      </c>
      <c r="D490" s="6">
        <v>18640998</v>
      </c>
      <c r="E490" s="7">
        <f>SUMIFS(Лист2!C:C,Лист2!B:B,Лист1!B490,Лист2!A:A,Лист1!A490)</f>
        <v>54</v>
      </c>
      <c r="F490" s="7">
        <f>SUMIFS(Лист2!$D:$D,Лист2!$B:$B,Лист1!$B490,Лист2!$A:$A,Лист1!$A490)</f>
        <v>11194</v>
      </c>
      <c r="G490" s="7">
        <f>SUMIFS(Лист2!$E:$E,Лист2!$B:$B,Лист1!$B490,Лист2!$A:$A,Лист1!$A490)</f>
        <v>10554</v>
      </c>
      <c r="H490" s="14">
        <f t="shared" si="14"/>
        <v>345203.66666666669</v>
      </c>
      <c r="I490">
        <f t="shared" si="15"/>
        <v>20</v>
      </c>
    </row>
    <row r="491" spans="1:9" ht="14.25" customHeight="1" x14ac:dyDescent="0.3">
      <c r="A491" s="8">
        <v>43966</v>
      </c>
      <c r="B491" s="9" t="s">
        <v>22</v>
      </c>
      <c r="C491" s="9">
        <v>219772.5</v>
      </c>
      <c r="D491" s="9">
        <v>21895294.5</v>
      </c>
      <c r="E491" s="7">
        <f>SUMIFS(Лист2!C:C,Лист2!B:B,Лист1!B491,Лист2!A:A,Лист1!A491)</f>
        <v>54</v>
      </c>
      <c r="F491" s="7">
        <f>SUMIFS(Лист2!$D:$D,Лист2!$B:$B,Лист1!$B491,Лист2!$A:$A,Лист1!$A491)</f>
        <v>12791</v>
      </c>
      <c r="G491" s="7">
        <f>SUMIFS(Лист2!$E:$E,Лист2!$B:$B,Лист1!$B491,Лист2!$A:$A,Лист1!$A491)</f>
        <v>11950</v>
      </c>
      <c r="H491" s="14">
        <f t="shared" si="14"/>
        <v>405468.41666666669</v>
      </c>
      <c r="I491">
        <f t="shared" si="15"/>
        <v>20</v>
      </c>
    </row>
    <row r="492" spans="1:9" ht="14.25" customHeight="1" x14ac:dyDescent="0.3">
      <c r="A492" s="5">
        <v>43980</v>
      </c>
      <c r="B492" s="6" t="s">
        <v>22</v>
      </c>
      <c r="C492" s="6">
        <v>226476</v>
      </c>
      <c r="D492" s="6">
        <v>22416151.5</v>
      </c>
      <c r="E492" s="7">
        <f>SUMIFS(Лист2!C:C,Лист2!B:B,Лист1!B492,Лист2!A:A,Лист1!A492)</f>
        <v>54</v>
      </c>
      <c r="F492" s="7">
        <f>SUMIFS(Лист2!$D:$D,Лист2!$B:$B,Лист1!$B492,Лист2!$A:$A,Лист1!$A492)</f>
        <v>14031</v>
      </c>
      <c r="G492" s="7">
        <f>SUMIFS(Лист2!$E:$E,Лист2!$B:$B,Лист1!$B492,Лист2!$A:$A,Лист1!$A492)</f>
        <v>12943</v>
      </c>
      <c r="H492" s="14">
        <f t="shared" si="14"/>
        <v>415113.91666666669</v>
      </c>
      <c r="I492">
        <f t="shared" si="15"/>
        <v>22</v>
      </c>
    </row>
    <row r="493" spans="1:9" ht="14.25" customHeight="1" x14ac:dyDescent="0.3">
      <c r="A493" s="8">
        <v>43978</v>
      </c>
      <c r="B493" s="9" t="s">
        <v>24</v>
      </c>
      <c r="C493" s="9">
        <v>8362.5</v>
      </c>
      <c r="D493" s="9">
        <v>687684</v>
      </c>
      <c r="E493" s="7">
        <f>SUMIFS(Лист2!C:C,Лист2!B:B,Лист1!B493,Лист2!A:A,Лист1!A493)</f>
        <v>7</v>
      </c>
      <c r="F493" s="7">
        <f>SUMIFS(Лист2!$D:$D,Лист2!$B:$B,Лист1!$B493,Лист2!$A:$A,Лист1!$A493)</f>
        <v>409</v>
      </c>
      <c r="G493" s="7">
        <f>SUMIFS(Лист2!$E:$E,Лист2!$B:$B,Лист1!$B493,Лист2!$A:$A,Лист1!$A493)</f>
        <v>329</v>
      </c>
      <c r="H493" s="14">
        <f t="shared" si="14"/>
        <v>98240.571428571435</v>
      </c>
      <c r="I493">
        <f t="shared" si="15"/>
        <v>22</v>
      </c>
    </row>
    <row r="494" spans="1:9" ht="14.25" customHeight="1" x14ac:dyDescent="0.3">
      <c r="A494" s="5">
        <v>43973</v>
      </c>
      <c r="B494" s="6" t="s">
        <v>23</v>
      </c>
      <c r="C494" s="6">
        <v>17008.5</v>
      </c>
      <c r="D494" s="6">
        <v>1398771</v>
      </c>
      <c r="E494" s="7">
        <f>SUMIFS(Лист2!C:C,Лист2!B:B,Лист1!B494,Лист2!A:A,Лист1!A494)</f>
        <v>18</v>
      </c>
      <c r="F494" s="7">
        <f>SUMIFS(Лист2!$D:$D,Лист2!$B:$B,Лист1!$B494,Лист2!$A:$A,Лист1!$A494)</f>
        <v>985</v>
      </c>
      <c r="G494" s="7">
        <f>SUMIFS(Лист2!$E:$E,Лист2!$B:$B,Лист1!$B494,Лист2!$A:$A,Лист1!$A494)</f>
        <v>861</v>
      </c>
      <c r="H494" s="14">
        <f t="shared" si="14"/>
        <v>77709.5</v>
      </c>
      <c r="I494">
        <f t="shared" si="15"/>
        <v>21</v>
      </c>
    </row>
    <row r="495" spans="1:9" ht="14.25" customHeight="1" x14ac:dyDescent="0.3">
      <c r="A495" s="8">
        <v>43983</v>
      </c>
      <c r="B495" s="9" t="s">
        <v>25</v>
      </c>
      <c r="C495" s="9">
        <v>5166</v>
      </c>
      <c r="D495" s="9">
        <v>389013</v>
      </c>
      <c r="E495" s="7">
        <f>SUMIFS(Лист2!C:C,Лист2!B:B,Лист1!B495,Лист2!A:A,Лист1!A495)</f>
        <v>9</v>
      </c>
      <c r="F495" s="7">
        <f>SUMIFS(Лист2!$D:$D,Лист2!$B:$B,Лист1!$B495,Лист2!$A:$A,Лист1!$A495)</f>
        <v>294</v>
      </c>
      <c r="G495" s="7">
        <f>SUMIFS(Лист2!$E:$E,Лист2!$B:$B,Лист1!$B495,Лист2!$A:$A,Лист1!$A495)</f>
        <v>224</v>
      </c>
      <c r="H495" s="14">
        <f t="shared" si="14"/>
        <v>43223.666666666664</v>
      </c>
      <c r="I495">
        <f t="shared" si="15"/>
        <v>23</v>
      </c>
    </row>
    <row r="496" spans="1:9" ht="14.25" customHeight="1" x14ac:dyDescent="0.3">
      <c r="A496" s="5">
        <v>43962</v>
      </c>
      <c r="B496" s="6" t="s">
        <v>23</v>
      </c>
      <c r="C496" s="6">
        <v>10941</v>
      </c>
      <c r="D496" s="6">
        <v>880356</v>
      </c>
      <c r="E496" s="7">
        <f>SUMIFS(Лист2!C:C,Лист2!B:B,Лист1!B496,Лист2!A:A,Лист1!A496)</f>
        <v>15</v>
      </c>
      <c r="F496" s="7">
        <f>SUMIFS(Лист2!$D:$D,Лист2!$B:$B,Лист1!$B496,Лист2!$A:$A,Лист1!$A496)</f>
        <v>654</v>
      </c>
      <c r="G496" s="7">
        <f>SUMIFS(Лист2!$E:$E,Лист2!$B:$B,Лист1!$B496,Лист2!$A:$A,Лист1!$A496)</f>
        <v>564</v>
      </c>
      <c r="H496" s="14">
        <f t="shared" si="14"/>
        <v>58690.400000000001</v>
      </c>
      <c r="I496">
        <f t="shared" si="15"/>
        <v>20</v>
      </c>
    </row>
    <row r="497" spans="1:9" ht="14.25" customHeight="1" x14ac:dyDescent="0.3">
      <c r="A497" s="8">
        <v>43969</v>
      </c>
      <c r="B497" s="9" t="s">
        <v>23</v>
      </c>
      <c r="C497" s="9">
        <v>14497.5</v>
      </c>
      <c r="D497" s="9">
        <v>1230711</v>
      </c>
      <c r="E497" s="7">
        <f>SUMIFS(Лист2!C:C,Лист2!B:B,Лист1!B497,Лист2!A:A,Лист1!A497)</f>
        <v>16</v>
      </c>
      <c r="F497" s="7">
        <f>SUMIFS(Лист2!$D:$D,Лист2!$B:$B,Лист1!$B497,Лист2!$A:$A,Лист1!$A497)</f>
        <v>864</v>
      </c>
      <c r="G497" s="7">
        <f>SUMIFS(Лист2!$E:$E,Лист2!$B:$B,Лист1!$B497,Лист2!$A:$A,Лист1!$A497)</f>
        <v>765</v>
      </c>
      <c r="H497" s="14">
        <f t="shared" si="14"/>
        <v>76919.4375</v>
      </c>
      <c r="I497">
        <f t="shared" si="15"/>
        <v>21</v>
      </c>
    </row>
    <row r="498" spans="1:9" ht="14.25" customHeight="1" x14ac:dyDescent="0.3">
      <c r="A498" s="5">
        <v>43965</v>
      </c>
      <c r="B498" s="6" t="s">
        <v>23</v>
      </c>
      <c r="C498" s="6">
        <v>13810.5</v>
      </c>
      <c r="D498" s="6">
        <v>1131676.5</v>
      </c>
      <c r="E498" s="7">
        <f>SUMIFS(Лист2!C:C,Лист2!B:B,Лист1!B498,Лист2!A:A,Лист1!A498)</f>
        <v>16</v>
      </c>
      <c r="F498" s="7">
        <f>SUMIFS(Лист2!$D:$D,Лист2!$B:$B,Лист1!$B498,Лист2!$A:$A,Лист1!$A498)</f>
        <v>834</v>
      </c>
      <c r="G498" s="7">
        <f>SUMIFS(Лист2!$E:$E,Лист2!$B:$B,Лист1!$B498,Лист2!$A:$A,Лист1!$A498)</f>
        <v>735</v>
      </c>
      <c r="H498" s="14">
        <f t="shared" si="14"/>
        <v>70729.78125</v>
      </c>
      <c r="I498">
        <f t="shared" si="15"/>
        <v>20</v>
      </c>
    </row>
    <row r="499" spans="1:9" ht="14.25" customHeight="1" x14ac:dyDescent="0.3">
      <c r="A499" s="8">
        <v>43966</v>
      </c>
      <c r="B499" s="9" t="s">
        <v>23</v>
      </c>
      <c r="C499" s="9">
        <v>13752</v>
      </c>
      <c r="D499" s="9">
        <v>1091040</v>
      </c>
      <c r="E499" s="7">
        <f>SUMIFS(Лист2!C:C,Лист2!B:B,Лист1!B499,Лист2!A:A,Лист1!A499)</f>
        <v>16</v>
      </c>
      <c r="F499" s="7">
        <f>SUMIFS(Лист2!$D:$D,Лист2!$B:$B,Лист1!$B499,Лист2!$A:$A,Лист1!$A499)</f>
        <v>817</v>
      </c>
      <c r="G499" s="7">
        <f>SUMIFS(Лист2!$E:$E,Лист2!$B:$B,Лист1!$B499,Лист2!$A:$A,Лист1!$A499)</f>
        <v>718</v>
      </c>
      <c r="H499" s="14">
        <f t="shared" si="14"/>
        <v>68190</v>
      </c>
      <c r="I499">
        <f t="shared" si="15"/>
        <v>20</v>
      </c>
    </row>
    <row r="500" spans="1:9" ht="14.25" customHeight="1" x14ac:dyDescent="0.3">
      <c r="A500" s="5">
        <v>43978</v>
      </c>
      <c r="B500" s="6" t="s">
        <v>23</v>
      </c>
      <c r="C500" s="6">
        <v>15276</v>
      </c>
      <c r="D500" s="6">
        <v>1350199.5</v>
      </c>
      <c r="E500" s="7">
        <f>SUMIFS(Лист2!C:C,Лист2!B:B,Лист1!B500,Лист2!A:A,Лист1!A500)</f>
        <v>18</v>
      </c>
      <c r="F500" s="7">
        <f>SUMIFS(Лист2!$D:$D,Лист2!$B:$B,Лист1!$B500,Лист2!$A:$A,Лист1!$A500)</f>
        <v>962</v>
      </c>
      <c r="G500" s="7">
        <f>SUMIFS(Лист2!$E:$E,Лист2!$B:$B,Лист1!$B500,Лист2!$A:$A,Лист1!$A500)</f>
        <v>859</v>
      </c>
      <c r="H500" s="14">
        <f t="shared" si="14"/>
        <v>75011.083333333328</v>
      </c>
      <c r="I500">
        <f t="shared" si="15"/>
        <v>22</v>
      </c>
    </row>
    <row r="501" spans="1:9" ht="14.25" customHeight="1" x14ac:dyDescent="0.3">
      <c r="A501" s="8">
        <v>43983</v>
      </c>
      <c r="B501" s="9" t="s">
        <v>26</v>
      </c>
      <c r="C501" s="9">
        <v>4408.5</v>
      </c>
      <c r="D501" s="9">
        <v>410892</v>
      </c>
      <c r="E501" s="7">
        <f>SUMIFS(Лист2!C:C,Лист2!B:B,Лист1!B501,Лист2!A:A,Лист1!A501)</f>
        <v>6</v>
      </c>
      <c r="F501" s="7">
        <f>SUMIFS(Лист2!$D:$D,Лист2!$B:$B,Лист1!$B501,Лист2!$A:$A,Лист1!$A501)</f>
        <v>237</v>
      </c>
      <c r="G501" s="7">
        <f>SUMIFS(Лист2!$E:$E,Лист2!$B:$B,Лист1!$B501,Лист2!$A:$A,Лист1!$A501)</f>
        <v>175</v>
      </c>
      <c r="H501" s="14">
        <f t="shared" si="14"/>
        <v>68482</v>
      </c>
      <c r="I501">
        <f t="shared" si="15"/>
        <v>23</v>
      </c>
    </row>
    <row r="502" spans="1:9" ht="14.25" customHeight="1" x14ac:dyDescent="0.3">
      <c r="A502" s="5">
        <v>43980</v>
      </c>
      <c r="B502" s="6" t="s">
        <v>24</v>
      </c>
      <c r="C502" s="6">
        <v>9927</v>
      </c>
      <c r="D502" s="6">
        <v>850840.5</v>
      </c>
      <c r="E502" s="7">
        <f>SUMIFS(Лист2!C:C,Лист2!B:B,Лист1!B502,Лист2!A:A,Лист1!A502)</f>
        <v>7</v>
      </c>
      <c r="F502" s="7">
        <f>SUMIFS(Лист2!$D:$D,Лист2!$B:$B,Лист1!$B502,Лист2!$A:$A,Лист1!$A502)</f>
        <v>491</v>
      </c>
      <c r="G502" s="7">
        <f>SUMIFS(Лист2!$E:$E,Лист2!$B:$B,Лист1!$B502,Лист2!$A:$A,Лист1!$A502)</f>
        <v>411</v>
      </c>
      <c r="H502" s="14">
        <f t="shared" si="14"/>
        <v>121548.64285714286</v>
      </c>
      <c r="I502">
        <f t="shared" si="15"/>
        <v>22</v>
      </c>
    </row>
    <row r="503" spans="1:9" ht="14.25" customHeight="1" x14ac:dyDescent="0.3">
      <c r="A503" s="8">
        <v>43983</v>
      </c>
      <c r="B503" s="9" t="s">
        <v>24</v>
      </c>
      <c r="C503" s="9">
        <v>9474</v>
      </c>
      <c r="D503" s="9">
        <v>802447.5</v>
      </c>
      <c r="E503" s="7">
        <f>SUMIFS(Лист2!C:C,Лист2!B:B,Лист1!B503,Лист2!A:A,Лист1!A503)</f>
        <v>7</v>
      </c>
      <c r="F503" s="7">
        <f>SUMIFS(Лист2!$D:$D,Лист2!$B:$B,Лист1!$B503,Лист2!$A:$A,Лист1!$A503)</f>
        <v>500</v>
      </c>
      <c r="G503" s="7">
        <f>SUMIFS(Лист2!$E:$E,Лист2!$B:$B,Лист1!$B503,Лист2!$A:$A,Лист1!$A503)</f>
        <v>418</v>
      </c>
      <c r="H503" s="14">
        <f t="shared" si="14"/>
        <v>114635.35714285714</v>
      </c>
      <c r="I503">
        <f t="shared" si="15"/>
        <v>23</v>
      </c>
    </row>
    <row r="504" spans="1:9" ht="14.25" customHeight="1" x14ac:dyDescent="0.3">
      <c r="A504" s="5">
        <v>43980</v>
      </c>
      <c r="B504" s="6" t="s">
        <v>23</v>
      </c>
      <c r="C504" s="6">
        <v>16878</v>
      </c>
      <c r="D504" s="6">
        <v>1438255.5</v>
      </c>
      <c r="E504" s="7">
        <f>SUMIFS(Лист2!C:C,Лист2!B:B,Лист1!B504,Лист2!A:A,Лист1!A504)</f>
        <v>18</v>
      </c>
      <c r="F504" s="7">
        <f>SUMIFS(Лист2!$D:$D,Лист2!$B:$B,Лист1!$B504,Лист2!$A:$A,Лист1!$A504)</f>
        <v>1014</v>
      </c>
      <c r="G504" s="7">
        <f>SUMIFS(Лист2!$E:$E,Лист2!$B:$B,Лист1!$B504,Лист2!$A:$A,Лист1!$A504)</f>
        <v>893</v>
      </c>
      <c r="H504" s="14">
        <f t="shared" si="14"/>
        <v>79903.083333333328</v>
      </c>
      <c r="I504">
        <f t="shared" si="15"/>
        <v>22</v>
      </c>
    </row>
    <row r="505" spans="1:9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s="7">
        <f>SUMIFS(Лист2!C:C,Лист2!B:B,Лист1!B505,Лист2!A:A,Лист1!A505)</f>
        <v>18</v>
      </c>
      <c r="F505" s="7">
        <f>SUMIFS(Лист2!$D:$D,Лист2!$B:$B,Лист1!$B505,Лист2!$A:$A,Лист1!$A505)</f>
        <v>923</v>
      </c>
      <c r="G505" s="7">
        <f>SUMIFS(Лист2!$E:$E,Лист2!$B:$B,Лист1!$B505,Лист2!$A:$A,Лист1!$A505)</f>
        <v>824</v>
      </c>
      <c r="H505" s="14">
        <f t="shared" si="14"/>
        <v>71845.5</v>
      </c>
      <c r="I505">
        <f t="shared" si="15"/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X505" xr:uid="{00000000-0001-0000-00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D1" sqref="D1:D1048576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E505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Сводная табл</vt:lpstr>
      <vt:lpstr>Диаграмма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resp office</cp:lastModifiedBy>
  <dcterms:created xsi:type="dcterms:W3CDTF">2021-09-13T10:17:58Z</dcterms:created>
  <dcterms:modified xsi:type="dcterms:W3CDTF">2026-04-30T10:02:06Z</dcterms:modified>
</cp:coreProperties>
</file>