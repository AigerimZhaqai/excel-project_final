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fic\OneDrive\Рабочий стол\Study\Academica\Финальный проект\EXCEL\"/>
    </mc:Choice>
  </mc:AlternateContent>
  <xr:revisionPtr revIDLastSave="0" documentId="13_ncr:1_{474EC073-DF68-410E-B93B-9F833E6B6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ответов" sheetId="2" r:id="rId1"/>
    <sheet name="База данных" sheetId="1" r:id="rId2"/>
    <sheet name="Лист2" sheetId="6" r:id="rId3"/>
    <sheet name="Sheet2" sheetId="4" r:id="rId4"/>
    <sheet name="Лист1" sheetId="5" r:id="rId5"/>
  </sheets>
  <definedNames>
    <definedName name="_xlnm._FilterDatabase" localSheetId="1" hidden="1">'База данных'!$A$1:$E$624</definedName>
    <definedName name="_xlnm._FilterDatabase" localSheetId="4" hidden="1">Лист1!$A$1:$B$293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5" i="6" l="1"/>
  <c r="F1" i="1"/>
  <c r="D294" i="6"/>
  <c r="C294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" i="6"/>
  <c r="F14" i="2"/>
  <c r="C15" i="2" s="1"/>
  <c r="B15" i="2" s="1"/>
  <c r="F19" i="2"/>
  <c r="C20" i="2" s="1"/>
  <c r="B20" i="2" s="1"/>
  <c r="F15" i="2"/>
  <c r="C16" i="2" s="1"/>
  <c r="B16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F4" i="2" s="1"/>
  <c r="C5" i="2" s="1"/>
  <c r="B5" i="2" s="1"/>
  <c r="D3" i="2"/>
  <c r="F3" i="2" s="1"/>
  <c r="C4" i="2" s="1"/>
  <c r="B4" i="2" s="1"/>
  <c r="F24" i="2"/>
  <c r="C25" i="2" s="1"/>
  <c r="B25" i="2" s="1"/>
  <c r="H380" i="1"/>
  <c r="F22" i="2"/>
  <c r="C23" i="2" s="1"/>
  <c r="B23" i="2" s="1"/>
  <c r="H388" i="1" a="1"/>
  <c r="H388" i="1" s="1"/>
  <c r="D27" i="2"/>
  <c r="F23" i="2"/>
  <c r="C24" i="2" s="1"/>
  <c r="B24" i="2" s="1"/>
  <c r="A3" i="4" a="1"/>
  <c r="A3" i="4" s="1"/>
  <c r="A2" i="4"/>
  <c r="A1" i="4"/>
  <c r="D26" i="2" a="1"/>
  <c r="D26" i="2" s="1"/>
  <c r="F26" i="2" s="1"/>
  <c r="C27" i="2" s="1"/>
  <c r="F25" i="2"/>
  <c r="C26" i="2" s="1"/>
  <c r="B26" i="2" s="1"/>
  <c r="F21" i="2"/>
  <c r="C22" i="2" s="1"/>
  <c r="B22" i="2" s="1"/>
  <c r="F20" i="2"/>
  <c r="C21" i="2" s="1"/>
  <c r="B21" i="2" s="1"/>
  <c r="F18" i="2"/>
  <c r="C19" i="2" s="1"/>
  <c r="B19" i="2" s="1"/>
  <c r="F17" i="2"/>
  <c r="C18" i="2" s="1"/>
  <c r="B18" i="2" s="1"/>
  <c r="F16" i="2"/>
  <c r="C17" i="2" s="1"/>
  <c r="B17" i="2" s="1"/>
  <c r="B294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<sst xmlns="http://schemas.openxmlformats.org/spreadsheetml/2006/main" count="933" uniqueCount="18">
  <si>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</si>
  <si>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</si>
  <si>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</si>
  <si>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</si>
  <si>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</si>
  <si>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</si>
  <si>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</si>
  <si>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</si>
  <si>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</si>
  <si>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</si>
  <si>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</si>
  <si>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</si>
  <si>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</si>
  <si>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</si>
  <si>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</si>
  <si>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</si>
  <si>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</si>
  <si>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СУММЕСЛИМН('База данных'!E:E;'База данных'!C:C;"*внутри*")/СУММЕСЛИМН('База данных'!E:E;'База данных'!C:C;"&lt;&gt;")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</si>
</sst>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10" fontId="2" fillId="0" borderId="0" xfId="1" applyNumberFormat="1" applyFont="1" applyAlignment="1">
      <alignment horizontal="center" vertical="center" wrapText="1"/>
    </xf>
    <xf numFmtId="0" fontId="0" fillId="0" borderId="3" xfId="0" applyBorder="1" applyProtection="1">
      <protection locked="0"/>
    </xf>
    <xf numFmtId="2" fontId="2" fillId="0" borderId="0" xfId="0" applyNumberFormat="1" applyFont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18" zoomScale="85" zoomScaleNormal="85" workbookViewId="0">
      <selection activeCell="D22" sqref="D22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f>SUM('База данных'!D:D)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данных'!E:E)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данных'!A:A)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данных'!E:E)/60, 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данных'!C:C,'База данных'!C2,'База данных'!D:D)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данных'!C:C, "На других операторов", 'База данных'!E:E)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данных'!B:B, 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данных'!D:D)/(SUM('База данных'!E:E)/60), 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f>ROUND(SUM('База данных'!E:E)/COUNTA('База данных'!A:A), 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данных'!E:E, 'База данных'!C:C, "*город*", 'База данных'!B:B, 5)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данных'!C:C,"*межнар*",'База данных'!B:B,1)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/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3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" customHeight="1" x14ac:dyDescent="0.3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3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" customHeight="1" x14ac:dyDescent="0.3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 t="e" cm="1" vm="1">
        <f t="array" ref="D26">_xlfn.TEXTJOIN("; ",TRUE,_xlfn._xlws.FILTER(_xlfn.UNIQUE('База данных'!C:C),ISNA(MATCH(_xlfn.UNIQUE('База данных'!C:C),_xlfn.UNIQUE(_xlfn._xlws.FILTER('База данных'!C:C,'База данных'!B:B="6")),0))))</f>
        <v>#VALUE!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/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624"/>
  <sheetViews>
    <sheetView zoomScale="85" zoomScaleNormal="85" workbookViewId="0">
      <selection activeCell="F1" sqref="F1"/>
    </sheetView>
  </sheetViews>
  <sheetFormatPr defaultRowHeight="14.4" x14ac:dyDescent="0.3"/>
  <cols>
    <col min="1" max="1" width="20.5546875" style="26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5" customWidth="1"/>
    <col min="9" max="9" width="11.88671875" bestFit="1" customWidth="1"/>
  </cols>
  <sheetData>
    <row r="1" spans="1:10" s="1" customFormat="1" ht="216" x14ac:dyDescent="0.3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  <c r="F1" s="45">
        <f>SUM(E:E)</f>
        <v>7883</v>
      </c>
      <c r="I1" s="43"/>
      <c r="J1" s="1" t="s">
        <v>17</v>
      </c>
    </row>
    <row r="2" spans="1:10" x14ac:dyDescent="0.3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10" x14ac:dyDescent="0.3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10" x14ac:dyDescent="0.3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10" x14ac:dyDescent="0.3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10" x14ac:dyDescent="0.3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10" x14ac:dyDescent="0.3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10" x14ac:dyDescent="0.3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10" x14ac:dyDescent="0.3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10" x14ac:dyDescent="0.3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10" x14ac:dyDescent="0.3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10" x14ac:dyDescent="0.3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10" x14ac:dyDescent="0.3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10" x14ac:dyDescent="0.3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</row>
    <row r="15" spans="1:10" x14ac:dyDescent="0.3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10" x14ac:dyDescent="0.3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3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3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3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3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3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3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3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3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3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3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3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3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3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3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3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3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3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3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3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3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3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3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3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3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3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3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3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3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3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3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3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3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3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3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3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3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3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3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3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3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3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3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3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3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3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3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3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3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3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3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3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3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3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3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3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3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3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3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3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3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3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3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3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3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3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3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3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3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3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3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3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3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3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3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3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3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3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3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3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3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3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3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3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3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3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3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3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3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3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3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3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3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3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3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3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3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3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3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3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3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3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3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3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3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3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3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3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3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3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3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3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3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3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3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3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3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3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3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3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3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3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3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3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3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3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3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3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3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3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3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3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3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3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3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3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3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3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3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3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3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3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3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3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3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3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3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3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3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3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3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3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3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3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3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3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3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3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3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3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3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3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3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3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3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3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3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3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3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3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3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3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3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3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3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3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3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3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3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3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3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3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3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3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3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3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3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3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3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3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3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3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3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3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3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3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3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3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3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3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3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3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3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3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3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3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3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3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3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3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3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3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3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3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3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3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3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3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3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3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3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3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3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3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3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3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3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3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3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3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3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3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3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3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3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3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3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3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3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3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3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3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3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3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3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3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3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3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3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3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3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3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3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3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3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3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3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3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3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3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3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3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3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3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3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3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3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3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3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3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3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3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3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3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3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3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3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3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3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3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3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3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3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3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3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3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3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3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3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3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3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3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3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3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3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3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3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3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3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3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3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3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3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3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3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3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3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3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3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3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3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3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3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3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3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3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3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3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3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3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3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3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3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3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3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3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3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3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3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3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3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3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3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3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3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3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3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3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3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3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3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3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3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3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3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3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3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3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3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3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3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3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3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3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3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3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3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3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3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3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3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3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3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3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3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</row>
    <row r="381" spans="1:8" x14ac:dyDescent="0.3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3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3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3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3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3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3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3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3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3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3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3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3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3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3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3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3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3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3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3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3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3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3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3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3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3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3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3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3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3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3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3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3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3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3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3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3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3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3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3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3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3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3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3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3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3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3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3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3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3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3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3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3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3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3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3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3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3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3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3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3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3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3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3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3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3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3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3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3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3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3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3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3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3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3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3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3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3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3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3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3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3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3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3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3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3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3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3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3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3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3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3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3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3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3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3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3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3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3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3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3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3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3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3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3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3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3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3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3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3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3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3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3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3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3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3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3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3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3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3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3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3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3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3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3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3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3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3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3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3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3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3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3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3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3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3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3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3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3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3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3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3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3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3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3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3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3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3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3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3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3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3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3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3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3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3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3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3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3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3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3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3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3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3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3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3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3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3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3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3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3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3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3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3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3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3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3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3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3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3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3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3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3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3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3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3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3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3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3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3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3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3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3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3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3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3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3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3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3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3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3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3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3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3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3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3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3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3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3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3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3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3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3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3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3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3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3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3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3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3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3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3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3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3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3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3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3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3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3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3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3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3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3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3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3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3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3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3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3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3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3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3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3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3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08C5-9E6C-45A7-8AC3-8E2FA12B8695}">
  <dimension ref="A1:D624"/>
  <sheetViews>
    <sheetView topLeftCell="A274" workbookViewId="0">
      <selection activeCell="D295" sqref="D295"/>
    </sheetView>
  </sheetViews>
  <sheetFormatPr defaultRowHeight="14.4" x14ac:dyDescent="0.3"/>
  <cols>
    <col min="1" max="1" width="20.5546875" style="26" customWidth="1"/>
    <col min="2" max="2" width="18.33203125" style="26" customWidth="1"/>
  </cols>
  <sheetData>
    <row r="1" spans="1:3" x14ac:dyDescent="0.3">
      <c r="A1" s="18" t="s">
        <v>9</v>
      </c>
      <c r="B1" s="19" t="s">
        <v>5</v>
      </c>
    </row>
    <row r="2" spans="1:3" x14ac:dyDescent="0.3">
      <c r="A2" s="20">
        <v>77010000068</v>
      </c>
      <c r="B2" s="20">
        <f>SUMIFS('База данных'!E:E,'База данных'!A:A,Лист2!A2)</f>
        <v>22</v>
      </c>
      <c r="C2">
        <f>B2/60</f>
        <v>0.36666666666666664</v>
      </c>
    </row>
    <row r="3" spans="1:3" x14ac:dyDescent="0.3">
      <c r="A3" s="22">
        <v>77010000001</v>
      </c>
      <c r="B3" s="20">
        <f>SUMIFS('База данных'!E:E,'База данных'!A:A,Лист2!A3)</f>
        <v>20</v>
      </c>
      <c r="C3">
        <f t="shared" ref="C3:C66" si="0">B3/60</f>
        <v>0.33333333333333331</v>
      </c>
    </row>
    <row r="4" spans="1:3" x14ac:dyDescent="0.3">
      <c r="A4" s="22">
        <v>77010000003</v>
      </c>
      <c r="B4" s="20">
        <f>SUMIFS('База данных'!E:E,'База данных'!A:A,Лист2!A4)</f>
        <v>29</v>
      </c>
      <c r="C4">
        <f t="shared" si="0"/>
        <v>0.48333333333333334</v>
      </c>
    </row>
    <row r="5" spans="1:3" x14ac:dyDescent="0.3">
      <c r="A5" s="22">
        <v>77010000004</v>
      </c>
      <c r="B5" s="20">
        <f>SUMIFS('База данных'!E:E,'База данных'!A:A,Лист2!A5)</f>
        <v>21</v>
      </c>
      <c r="C5">
        <f t="shared" si="0"/>
        <v>0.35</v>
      </c>
    </row>
    <row r="6" spans="1:3" x14ac:dyDescent="0.3">
      <c r="A6" s="22">
        <v>77010000008</v>
      </c>
      <c r="B6" s="20">
        <f>SUMIFS('База данных'!E:E,'База данных'!A:A,Лист2!A6)</f>
        <v>19</v>
      </c>
      <c r="C6">
        <f t="shared" si="0"/>
        <v>0.31666666666666665</v>
      </c>
    </row>
    <row r="7" spans="1:3" x14ac:dyDescent="0.3">
      <c r="A7" s="22">
        <v>77010000052</v>
      </c>
      <c r="B7" s="20">
        <f>SUMIFS('База данных'!E:E,'База данных'!A:A,Лист2!A7)</f>
        <v>28</v>
      </c>
      <c r="C7">
        <f t="shared" si="0"/>
        <v>0.46666666666666667</v>
      </c>
    </row>
    <row r="8" spans="1:3" x14ac:dyDescent="0.3">
      <c r="A8" s="22">
        <v>77010000060</v>
      </c>
      <c r="B8" s="20">
        <f>SUMIFS('База данных'!E:E,'База данных'!A:A,Лист2!A8)</f>
        <v>46</v>
      </c>
      <c r="C8">
        <f t="shared" si="0"/>
        <v>0.76666666666666672</v>
      </c>
    </row>
    <row r="9" spans="1:3" x14ac:dyDescent="0.3">
      <c r="A9" s="22">
        <v>77010000046</v>
      </c>
      <c r="B9" s="20">
        <f>SUMIFS('База данных'!E:E,'База данных'!A:A,Лист2!A9)</f>
        <v>17</v>
      </c>
      <c r="C9">
        <f t="shared" si="0"/>
        <v>0.28333333333333333</v>
      </c>
    </row>
    <row r="10" spans="1:3" x14ac:dyDescent="0.3">
      <c r="A10" s="22">
        <v>77010000054</v>
      </c>
      <c r="B10" s="20">
        <f>SUMIFS('База данных'!E:E,'База данных'!A:A,Лист2!A10)</f>
        <v>32</v>
      </c>
      <c r="C10">
        <f t="shared" si="0"/>
        <v>0.53333333333333333</v>
      </c>
    </row>
    <row r="11" spans="1:3" x14ac:dyDescent="0.3">
      <c r="A11" s="22">
        <v>77010000062</v>
      </c>
      <c r="B11" s="20">
        <f>SUMIFS('База данных'!E:E,'База данных'!A:A,Лист2!A11)</f>
        <v>25</v>
      </c>
      <c r="C11">
        <f t="shared" si="0"/>
        <v>0.41666666666666669</v>
      </c>
    </row>
    <row r="12" spans="1:3" x14ac:dyDescent="0.3">
      <c r="A12" s="22">
        <v>77010000065</v>
      </c>
      <c r="B12" s="20">
        <f>SUMIFS('База данных'!E:E,'База данных'!A:A,Лист2!A12)</f>
        <v>3</v>
      </c>
      <c r="C12">
        <f t="shared" si="0"/>
        <v>0.05</v>
      </c>
    </row>
    <row r="13" spans="1:3" x14ac:dyDescent="0.3">
      <c r="A13" s="22">
        <v>77010000066</v>
      </c>
      <c r="B13" s="20">
        <f>SUMIFS('База данных'!E:E,'База данных'!A:A,Лист2!A13)</f>
        <v>13</v>
      </c>
      <c r="C13">
        <f t="shared" si="0"/>
        <v>0.21666666666666667</v>
      </c>
    </row>
    <row r="14" spans="1:3" x14ac:dyDescent="0.3">
      <c r="A14" s="22">
        <v>77010000063</v>
      </c>
      <c r="B14" s="20">
        <f>SUMIFS('База данных'!E:E,'База данных'!A:A,Лист2!A14)</f>
        <v>12</v>
      </c>
      <c r="C14">
        <f t="shared" si="0"/>
        <v>0.2</v>
      </c>
    </row>
    <row r="15" spans="1:3" x14ac:dyDescent="0.3">
      <c r="A15" s="22">
        <v>77010000045</v>
      </c>
      <c r="B15" s="20">
        <f>SUMIFS('База данных'!E:E,'База данных'!A:A,Лист2!A15)</f>
        <v>11</v>
      </c>
      <c r="C15">
        <f t="shared" si="0"/>
        <v>0.18333333333333332</v>
      </c>
    </row>
    <row r="16" spans="1:3" x14ac:dyDescent="0.3">
      <c r="A16" s="22">
        <v>77010000082</v>
      </c>
      <c r="B16" s="20">
        <f>SUMIFS('База данных'!E:E,'База данных'!A:A,Лист2!A16)</f>
        <v>33</v>
      </c>
      <c r="C16">
        <f t="shared" si="0"/>
        <v>0.55000000000000004</v>
      </c>
    </row>
    <row r="17" spans="1:3" x14ac:dyDescent="0.3">
      <c r="A17" s="22">
        <v>77010000094</v>
      </c>
      <c r="B17" s="20">
        <f>SUMIFS('База данных'!E:E,'База данных'!A:A,Лист2!A17)</f>
        <v>22</v>
      </c>
      <c r="C17">
        <f t="shared" si="0"/>
        <v>0.36666666666666664</v>
      </c>
    </row>
    <row r="18" spans="1:3" x14ac:dyDescent="0.3">
      <c r="A18" s="22">
        <v>77010000042</v>
      </c>
      <c r="B18" s="20">
        <f>SUMIFS('База данных'!E:E,'База данных'!A:A,Лист2!A18)</f>
        <v>23</v>
      </c>
      <c r="C18">
        <f t="shared" si="0"/>
        <v>0.38333333333333336</v>
      </c>
    </row>
    <row r="19" spans="1:3" x14ac:dyDescent="0.3">
      <c r="A19" s="22">
        <v>77010000014</v>
      </c>
      <c r="B19" s="20">
        <f>SUMIFS('База данных'!E:E,'База данных'!A:A,Лист2!A19)</f>
        <v>8</v>
      </c>
      <c r="C19">
        <f t="shared" si="0"/>
        <v>0.13333333333333333</v>
      </c>
    </row>
    <row r="20" spans="1:3" x14ac:dyDescent="0.3">
      <c r="A20" s="22">
        <v>77010000017</v>
      </c>
      <c r="B20" s="20">
        <f>SUMIFS('База данных'!E:E,'База данных'!A:A,Лист2!A20)</f>
        <v>10</v>
      </c>
      <c r="C20">
        <f t="shared" si="0"/>
        <v>0.16666666666666666</v>
      </c>
    </row>
    <row r="21" spans="1:3" x14ac:dyDescent="0.3">
      <c r="A21" s="22">
        <v>77010000040</v>
      </c>
      <c r="B21" s="20">
        <f>SUMIFS('База данных'!E:E,'База данных'!A:A,Лист2!A21)</f>
        <v>23</v>
      </c>
      <c r="C21">
        <f t="shared" si="0"/>
        <v>0.38333333333333336</v>
      </c>
    </row>
    <row r="22" spans="1:3" x14ac:dyDescent="0.3">
      <c r="A22" s="22">
        <v>77010000056</v>
      </c>
      <c r="B22" s="20">
        <f>SUMIFS('База данных'!E:E,'База данных'!A:A,Лист2!A22)</f>
        <v>43</v>
      </c>
      <c r="C22">
        <f t="shared" si="0"/>
        <v>0.71666666666666667</v>
      </c>
    </row>
    <row r="23" spans="1:3" x14ac:dyDescent="0.3">
      <c r="A23" s="22">
        <v>77010000061</v>
      </c>
      <c r="B23" s="20">
        <f>SUMIFS('База данных'!E:E,'База данных'!A:A,Лист2!A23)</f>
        <v>37</v>
      </c>
      <c r="C23">
        <f t="shared" si="0"/>
        <v>0.6166666666666667</v>
      </c>
    </row>
    <row r="24" spans="1:3" x14ac:dyDescent="0.3">
      <c r="A24" s="22">
        <v>77010000078</v>
      </c>
      <c r="B24" s="20">
        <f>SUMIFS('База данных'!E:E,'База данных'!A:A,Лист2!A24)</f>
        <v>22</v>
      </c>
      <c r="C24">
        <f t="shared" si="0"/>
        <v>0.36666666666666664</v>
      </c>
    </row>
    <row r="25" spans="1:3" x14ac:dyDescent="0.3">
      <c r="A25" s="22">
        <v>77010000005</v>
      </c>
      <c r="B25" s="20">
        <f>SUMIFS('База данных'!E:E,'База данных'!A:A,Лист2!A25)</f>
        <v>27</v>
      </c>
      <c r="C25">
        <f t="shared" si="0"/>
        <v>0.45</v>
      </c>
    </row>
    <row r="26" spans="1:3" x14ac:dyDescent="0.3">
      <c r="A26" s="22">
        <v>77010000006</v>
      </c>
      <c r="B26" s="20">
        <f>SUMIFS('База данных'!E:E,'База данных'!A:A,Лист2!A26)</f>
        <v>20</v>
      </c>
      <c r="C26">
        <f t="shared" si="0"/>
        <v>0.33333333333333331</v>
      </c>
    </row>
    <row r="27" spans="1:3" x14ac:dyDescent="0.3">
      <c r="A27" s="22">
        <v>77010000051</v>
      </c>
      <c r="B27" s="20">
        <f>SUMIFS('База данных'!E:E,'База данных'!A:A,Лист2!A27)</f>
        <v>39</v>
      </c>
      <c r="C27">
        <f t="shared" si="0"/>
        <v>0.65</v>
      </c>
    </row>
    <row r="28" spans="1:3" x14ac:dyDescent="0.3">
      <c r="A28" s="22">
        <v>77010000058</v>
      </c>
      <c r="B28" s="20">
        <f>SUMIFS('База данных'!E:E,'База данных'!A:A,Лист2!A28)</f>
        <v>39</v>
      </c>
      <c r="C28">
        <f t="shared" si="0"/>
        <v>0.65</v>
      </c>
    </row>
    <row r="29" spans="1:3" x14ac:dyDescent="0.3">
      <c r="A29" s="22">
        <v>77010000070</v>
      </c>
      <c r="B29" s="20">
        <f>SUMIFS('База данных'!E:E,'База данных'!A:A,Лист2!A29)</f>
        <v>21</v>
      </c>
      <c r="C29">
        <f t="shared" si="0"/>
        <v>0.35</v>
      </c>
    </row>
    <row r="30" spans="1:3" x14ac:dyDescent="0.3">
      <c r="A30" s="22">
        <v>77010000064</v>
      </c>
      <c r="B30" s="20">
        <f>SUMIFS('База данных'!E:E,'База данных'!A:A,Лист2!A30)</f>
        <v>6</v>
      </c>
      <c r="C30">
        <f t="shared" si="0"/>
        <v>0.1</v>
      </c>
    </row>
    <row r="31" spans="1:3" x14ac:dyDescent="0.3">
      <c r="A31" s="22">
        <v>77010000037</v>
      </c>
      <c r="B31" s="20">
        <f>SUMIFS('База данных'!E:E,'База данных'!A:A,Лист2!A31)</f>
        <v>30</v>
      </c>
      <c r="C31">
        <f t="shared" si="0"/>
        <v>0.5</v>
      </c>
    </row>
    <row r="32" spans="1:3" x14ac:dyDescent="0.3">
      <c r="A32" s="22">
        <v>77010000086</v>
      </c>
      <c r="B32" s="20">
        <f>SUMIFS('База данных'!E:E,'База данных'!A:A,Лист2!A32)</f>
        <v>2</v>
      </c>
      <c r="C32">
        <f t="shared" si="0"/>
        <v>3.3333333333333333E-2</v>
      </c>
    </row>
    <row r="33" spans="1:3" x14ac:dyDescent="0.3">
      <c r="A33" s="22">
        <v>77010000092</v>
      </c>
      <c r="B33" s="20">
        <f>SUMIFS('База данных'!E:E,'База данных'!A:A,Лист2!A33)</f>
        <v>13</v>
      </c>
      <c r="C33">
        <f t="shared" si="0"/>
        <v>0.21666666666666667</v>
      </c>
    </row>
    <row r="34" spans="1:3" x14ac:dyDescent="0.3">
      <c r="A34" s="22">
        <v>77010000095</v>
      </c>
      <c r="B34" s="20">
        <f>SUMIFS('База данных'!E:E,'База данных'!A:A,Лист2!A34)</f>
        <v>2</v>
      </c>
      <c r="C34">
        <f t="shared" si="0"/>
        <v>3.3333333333333333E-2</v>
      </c>
    </row>
    <row r="35" spans="1:3" x14ac:dyDescent="0.3">
      <c r="A35" s="22">
        <v>77010000009</v>
      </c>
      <c r="B35" s="20">
        <f>SUMIFS('База данных'!E:E,'База данных'!A:A,Лист2!A35)</f>
        <v>11</v>
      </c>
      <c r="C35">
        <f t="shared" si="0"/>
        <v>0.18333333333333332</v>
      </c>
    </row>
    <row r="36" spans="1:3" x14ac:dyDescent="0.3">
      <c r="A36" s="22">
        <v>77010000010</v>
      </c>
      <c r="B36" s="20">
        <f>SUMIFS('База данных'!E:E,'База данных'!A:A,Лист2!A36)</f>
        <v>22</v>
      </c>
      <c r="C36">
        <f t="shared" si="0"/>
        <v>0.36666666666666664</v>
      </c>
    </row>
    <row r="37" spans="1:3" x14ac:dyDescent="0.3">
      <c r="A37" s="22">
        <v>77010000016</v>
      </c>
      <c r="B37" s="20">
        <f>SUMIFS('База данных'!E:E,'База данных'!A:A,Лист2!A37)</f>
        <v>16</v>
      </c>
      <c r="C37">
        <f t="shared" si="0"/>
        <v>0.26666666666666666</v>
      </c>
    </row>
    <row r="38" spans="1:3" x14ac:dyDescent="0.3">
      <c r="A38" s="22">
        <v>77010000081</v>
      </c>
      <c r="B38" s="20">
        <f>SUMIFS('База данных'!E:E,'База данных'!A:A,Лист2!A38)</f>
        <v>42</v>
      </c>
      <c r="C38">
        <f t="shared" si="0"/>
        <v>0.7</v>
      </c>
    </row>
    <row r="39" spans="1:3" x14ac:dyDescent="0.3">
      <c r="A39" s="22">
        <v>77010000067</v>
      </c>
      <c r="B39" s="20">
        <f>SUMIFS('База данных'!E:E,'База данных'!A:A,Лист2!A39)</f>
        <v>17</v>
      </c>
      <c r="C39">
        <f t="shared" si="0"/>
        <v>0.28333333333333333</v>
      </c>
    </row>
    <row r="40" spans="1:3" x14ac:dyDescent="0.3">
      <c r="A40" s="22">
        <v>77010000075</v>
      </c>
      <c r="B40" s="20">
        <f>SUMIFS('База данных'!E:E,'База данных'!A:A,Лист2!A40)</f>
        <v>41</v>
      </c>
      <c r="C40">
        <f t="shared" si="0"/>
        <v>0.68333333333333335</v>
      </c>
    </row>
    <row r="41" spans="1:3" x14ac:dyDescent="0.3">
      <c r="A41" s="22">
        <v>77010000088</v>
      </c>
      <c r="B41" s="20">
        <f>SUMIFS('База данных'!E:E,'База данных'!A:A,Лист2!A41)</f>
        <v>3</v>
      </c>
      <c r="C41">
        <f t="shared" si="0"/>
        <v>0.05</v>
      </c>
    </row>
    <row r="42" spans="1:3" x14ac:dyDescent="0.3">
      <c r="A42" s="22">
        <v>77010000002</v>
      </c>
      <c r="B42" s="20">
        <f>SUMIFS('База данных'!E:E,'База данных'!A:A,Лист2!A42)</f>
        <v>16</v>
      </c>
      <c r="C42">
        <f t="shared" si="0"/>
        <v>0.26666666666666666</v>
      </c>
    </row>
    <row r="43" spans="1:3" x14ac:dyDescent="0.3">
      <c r="A43" s="22">
        <v>77010000049</v>
      </c>
      <c r="B43" s="20">
        <f>SUMIFS('База данных'!E:E,'База данных'!A:A,Лист2!A43)</f>
        <v>36</v>
      </c>
      <c r="C43">
        <f t="shared" si="0"/>
        <v>0.6</v>
      </c>
    </row>
    <row r="44" spans="1:3" x14ac:dyDescent="0.3">
      <c r="A44" s="22">
        <v>77010000079</v>
      </c>
      <c r="B44" s="20">
        <f>SUMIFS('База данных'!E:E,'База данных'!A:A,Лист2!A44)</f>
        <v>37</v>
      </c>
      <c r="C44">
        <f t="shared" si="0"/>
        <v>0.6166666666666667</v>
      </c>
    </row>
    <row r="45" spans="1:3" x14ac:dyDescent="0.3">
      <c r="A45" s="22">
        <v>77010000048</v>
      </c>
      <c r="B45" s="20">
        <f>SUMIFS('База данных'!E:E,'База данных'!A:A,Лист2!A45)</f>
        <v>14</v>
      </c>
      <c r="C45">
        <f t="shared" si="0"/>
        <v>0.23333333333333334</v>
      </c>
    </row>
    <row r="46" spans="1:3" x14ac:dyDescent="0.3">
      <c r="A46" s="22">
        <v>77010000057</v>
      </c>
      <c r="B46" s="20">
        <f>SUMIFS('База данных'!E:E,'База данных'!A:A,Лист2!A46)</f>
        <v>41</v>
      </c>
      <c r="C46">
        <f t="shared" si="0"/>
        <v>0.68333333333333335</v>
      </c>
    </row>
    <row r="47" spans="1:3" x14ac:dyDescent="0.3">
      <c r="A47" s="22">
        <v>77010000084</v>
      </c>
      <c r="B47" s="20">
        <f>SUMIFS('База данных'!E:E,'База данных'!A:A,Лист2!A47)</f>
        <v>20</v>
      </c>
      <c r="C47">
        <f t="shared" si="0"/>
        <v>0.33333333333333331</v>
      </c>
    </row>
    <row r="48" spans="1:3" x14ac:dyDescent="0.3">
      <c r="A48" s="22">
        <v>77010000007</v>
      </c>
      <c r="B48" s="20">
        <f>SUMIFS('База данных'!E:E,'База данных'!A:A,Лист2!A48)</f>
        <v>36</v>
      </c>
      <c r="C48">
        <f t="shared" si="0"/>
        <v>0.6</v>
      </c>
    </row>
    <row r="49" spans="1:3" x14ac:dyDescent="0.3">
      <c r="A49" s="22">
        <v>77010000089</v>
      </c>
      <c r="B49" s="20">
        <f>SUMIFS('База данных'!E:E,'База данных'!A:A,Лист2!A49)</f>
        <v>5</v>
      </c>
      <c r="C49">
        <f t="shared" si="0"/>
        <v>8.3333333333333329E-2</v>
      </c>
    </row>
    <row r="50" spans="1:3" x14ac:dyDescent="0.3">
      <c r="A50" s="22">
        <v>77010000093</v>
      </c>
      <c r="B50" s="20">
        <f>SUMIFS('База данных'!E:E,'База данных'!A:A,Лист2!A50)</f>
        <v>11</v>
      </c>
      <c r="C50">
        <f t="shared" si="0"/>
        <v>0.18333333333333332</v>
      </c>
    </row>
    <row r="51" spans="1:3" x14ac:dyDescent="0.3">
      <c r="A51" s="22">
        <v>77010000018</v>
      </c>
      <c r="B51" s="20">
        <f>SUMIFS('База данных'!E:E,'База данных'!A:A,Лист2!A51)</f>
        <v>16</v>
      </c>
      <c r="C51">
        <f t="shared" si="0"/>
        <v>0.26666666666666666</v>
      </c>
    </row>
    <row r="52" spans="1:3" x14ac:dyDescent="0.3">
      <c r="A52" s="22">
        <v>77010000073</v>
      </c>
      <c r="B52" s="20">
        <f>SUMIFS('База данных'!E:E,'База данных'!A:A,Лист2!A52)</f>
        <v>12</v>
      </c>
      <c r="C52">
        <f t="shared" si="0"/>
        <v>0.2</v>
      </c>
    </row>
    <row r="53" spans="1:3" x14ac:dyDescent="0.3">
      <c r="A53" s="22">
        <v>77010000053</v>
      </c>
      <c r="B53" s="20">
        <f>SUMIFS('База данных'!E:E,'База данных'!A:A,Лист2!A53)</f>
        <v>46</v>
      </c>
      <c r="C53">
        <f t="shared" si="0"/>
        <v>0.76666666666666672</v>
      </c>
    </row>
    <row r="54" spans="1:3" x14ac:dyDescent="0.3">
      <c r="A54" s="22">
        <v>77010000085</v>
      </c>
      <c r="B54" s="20">
        <f>SUMIFS('База данных'!E:E,'База данных'!A:A,Лист2!A54)</f>
        <v>6</v>
      </c>
      <c r="C54">
        <f t="shared" si="0"/>
        <v>0.1</v>
      </c>
    </row>
    <row r="55" spans="1:3" x14ac:dyDescent="0.3">
      <c r="A55" s="22">
        <v>77010000033</v>
      </c>
      <c r="B55" s="20">
        <f>SUMIFS('База данных'!E:E,'База данных'!A:A,Лист2!A55)</f>
        <v>24</v>
      </c>
      <c r="C55">
        <f t="shared" si="0"/>
        <v>0.4</v>
      </c>
    </row>
    <row r="56" spans="1:3" x14ac:dyDescent="0.3">
      <c r="A56" s="22">
        <v>77010000031</v>
      </c>
      <c r="B56" s="20">
        <f>SUMIFS('База данных'!E:E,'База данных'!A:A,Лист2!A56)</f>
        <v>16</v>
      </c>
      <c r="C56">
        <f t="shared" si="0"/>
        <v>0.26666666666666666</v>
      </c>
    </row>
    <row r="57" spans="1:3" x14ac:dyDescent="0.3">
      <c r="A57" s="22">
        <v>77010000050</v>
      </c>
      <c r="B57" s="20">
        <f>SUMIFS('База данных'!E:E,'База данных'!A:A,Лист2!A57)</f>
        <v>55</v>
      </c>
      <c r="C57">
        <f t="shared" si="0"/>
        <v>0.91666666666666663</v>
      </c>
    </row>
    <row r="58" spans="1:3" x14ac:dyDescent="0.3">
      <c r="A58" s="22">
        <v>77010000055</v>
      </c>
      <c r="B58" s="20">
        <f>SUMIFS('База данных'!E:E,'База данных'!A:A,Лист2!A58)</f>
        <v>76</v>
      </c>
      <c r="C58">
        <f t="shared" si="0"/>
        <v>1.2666666666666666</v>
      </c>
    </row>
    <row r="59" spans="1:3" x14ac:dyDescent="0.3">
      <c r="A59" s="22">
        <v>77010000090</v>
      </c>
      <c r="B59" s="20">
        <f>SUMIFS('База данных'!E:E,'База данных'!A:A,Лист2!A59)</f>
        <v>18</v>
      </c>
      <c r="C59">
        <f t="shared" si="0"/>
        <v>0.3</v>
      </c>
    </row>
    <row r="60" spans="1:3" x14ac:dyDescent="0.3">
      <c r="A60" s="22">
        <v>77010000076</v>
      </c>
      <c r="B60" s="20">
        <f>SUMIFS('База данных'!E:E,'База данных'!A:A,Лист2!A60)</f>
        <v>26</v>
      </c>
      <c r="C60">
        <f t="shared" si="0"/>
        <v>0.43333333333333335</v>
      </c>
    </row>
    <row r="61" spans="1:3" x14ac:dyDescent="0.3">
      <c r="A61" s="22">
        <v>77010000035</v>
      </c>
      <c r="B61" s="20">
        <f>SUMIFS('База данных'!E:E,'База данных'!A:A,Лист2!A61)</f>
        <v>28</v>
      </c>
      <c r="C61">
        <f t="shared" si="0"/>
        <v>0.46666666666666667</v>
      </c>
    </row>
    <row r="62" spans="1:3" x14ac:dyDescent="0.3">
      <c r="A62" s="22">
        <v>77010000023</v>
      </c>
      <c r="B62" s="20">
        <f>SUMIFS('База данных'!E:E,'База данных'!A:A,Лист2!A62)</f>
        <v>22</v>
      </c>
      <c r="C62">
        <f t="shared" si="0"/>
        <v>0.36666666666666664</v>
      </c>
    </row>
    <row r="63" spans="1:3" x14ac:dyDescent="0.3">
      <c r="A63" s="22">
        <v>77010000039</v>
      </c>
      <c r="B63" s="20">
        <f>SUMIFS('База данных'!E:E,'База данных'!A:A,Лист2!A63)</f>
        <v>30</v>
      </c>
      <c r="C63">
        <f t="shared" si="0"/>
        <v>0.5</v>
      </c>
    </row>
    <row r="64" spans="1:3" x14ac:dyDescent="0.3">
      <c r="A64" s="22">
        <v>77010000069</v>
      </c>
      <c r="B64" s="20">
        <f>SUMIFS('База данных'!E:E,'База данных'!A:A,Лист2!A64)</f>
        <v>28</v>
      </c>
      <c r="C64">
        <f t="shared" si="0"/>
        <v>0.46666666666666667</v>
      </c>
    </row>
    <row r="65" spans="1:3" x14ac:dyDescent="0.3">
      <c r="A65" s="22">
        <v>77010000047</v>
      </c>
      <c r="B65" s="20">
        <f>SUMIFS('База данных'!E:E,'База данных'!A:A,Лист2!A65)</f>
        <v>52</v>
      </c>
      <c r="C65">
        <f t="shared" si="0"/>
        <v>0.8666666666666667</v>
      </c>
    </row>
    <row r="66" spans="1:3" x14ac:dyDescent="0.3">
      <c r="A66" s="22">
        <v>77010000043</v>
      </c>
      <c r="B66" s="20">
        <f>SUMIFS('База данных'!E:E,'База данных'!A:A,Лист2!A66)</f>
        <v>38</v>
      </c>
      <c r="C66">
        <f t="shared" si="0"/>
        <v>0.6333333333333333</v>
      </c>
    </row>
    <row r="67" spans="1:3" x14ac:dyDescent="0.3">
      <c r="A67" s="22">
        <v>77010000013</v>
      </c>
      <c r="B67" s="20">
        <f>SUMIFS('База данных'!E:E,'База данных'!A:A,Лист2!A67)</f>
        <v>30</v>
      </c>
      <c r="C67">
        <f t="shared" ref="C67:C130" si="1">B67/60</f>
        <v>0.5</v>
      </c>
    </row>
    <row r="68" spans="1:3" x14ac:dyDescent="0.3">
      <c r="A68" s="22">
        <v>77010000036</v>
      </c>
      <c r="B68" s="20">
        <f>SUMIFS('База данных'!E:E,'База данных'!A:A,Лист2!A68)</f>
        <v>31</v>
      </c>
      <c r="C68">
        <f t="shared" si="1"/>
        <v>0.51666666666666672</v>
      </c>
    </row>
    <row r="69" spans="1:3" x14ac:dyDescent="0.3">
      <c r="A69" s="22">
        <v>77010000074</v>
      </c>
      <c r="B69" s="20">
        <f>SUMIFS('База данных'!E:E,'База данных'!A:A,Лист2!A69)</f>
        <v>20</v>
      </c>
      <c r="C69">
        <f t="shared" si="1"/>
        <v>0.33333333333333331</v>
      </c>
    </row>
    <row r="70" spans="1:3" x14ac:dyDescent="0.3">
      <c r="A70" s="22">
        <v>77010000059</v>
      </c>
      <c r="B70" s="20">
        <f>SUMIFS('База данных'!E:E,'База данных'!A:A,Лист2!A70)</f>
        <v>70</v>
      </c>
      <c r="C70">
        <f t="shared" si="1"/>
        <v>1.1666666666666667</v>
      </c>
    </row>
    <row r="71" spans="1:3" x14ac:dyDescent="0.3">
      <c r="A71" s="22">
        <v>77010000077</v>
      </c>
      <c r="B71" s="20">
        <f>SUMIFS('База данных'!E:E,'База данных'!A:A,Лист2!A71)</f>
        <v>71</v>
      </c>
      <c r="C71">
        <f t="shared" si="1"/>
        <v>1.1833333333333333</v>
      </c>
    </row>
    <row r="72" spans="1:3" x14ac:dyDescent="0.3">
      <c r="A72" s="22">
        <v>77010000083</v>
      </c>
      <c r="B72" s="20">
        <f>SUMIFS('База данных'!E:E,'База данных'!A:A,Лист2!A72)</f>
        <v>59</v>
      </c>
      <c r="C72">
        <f t="shared" si="1"/>
        <v>0.98333333333333328</v>
      </c>
    </row>
    <row r="73" spans="1:3" x14ac:dyDescent="0.3">
      <c r="A73" s="22">
        <v>77010000011</v>
      </c>
      <c r="B73" s="20">
        <f>SUMIFS('База данных'!E:E,'База данных'!A:A,Лист2!A73)</f>
        <v>20</v>
      </c>
      <c r="C73">
        <f t="shared" si="1"/>
        <v>0.33333333333333331</v>
      </c>
    </row>
    <row r="74" spans="1:3" x14ac:dyDescent="0.3">
      <c r="A74" s="22">
        <v>77010000027</v>
      </c>
      <c r="B74" s="20">
        <f>SUMIFS('База данных'!E:E,'База данных'!A:A,Лист2!A74)</f>
        <v>26</v>
      </c>
      <c r="C74">
        <f t="shared" si="1"/>
        <v>0.43333333333333335</v>
      </c>
    </row>
    <row r="75" spans="1:3" x14ac:dyDescent="0.3">
      <c r="A75" s="22">
        <v>77010000032</v>
      </c>
      <c r="B75" s="20">
        <f>SUMIFS('База данных'!E:E,'База данных'!A:A,Лист2!A75)</f>
        <v>26</v>
      </c>
      <c r="C75">
        <f t="shared" si="1"/>
        <v>0.43333333333333335</v>
      </c>
    </row>
    <row r="76" spans="1:3" x14ac:dyDescent="0.3">
      <c r="A76" s="22">
        <v>77010000022</v>
      </c>
      <c r="B76" s="20">
        <f>SUMIFS('База данных'!E:E,'База данных'!A:A,Лист2!A76)</f>
        <v>29</v>
      </c>
      <c r="C76">
        <f t="shared" si="1"/>
        <v>0.48333333333333334</v>
      </c>
    </row>
    <row r="77" spans="1:3" x14ac:dyDescent="0.3">
      <c r="A77" s="22">
        <v>77010000034</v>
      </c>
      <c r="B77" s="20">
        <f>SUMIFS('База данных'!E:E,'База данных'!A:A,Лист2!A77)</f>
        <v>24</v>
      </c>
      <c r="C77">
        <f t="shared" si="1"/>
        <v>0.4</v>
      </c>
    </row>
    <row r="78" spans="1:3" x14ac:dyDescent="0.3">
      <c r="A78" s="22">
        <v>77010000080</v>
      </c>
      <c r="B78" s="20">
        <f>SUMIFS('База данных'!E:E,'База данных'!A:A,Лист2!A78)</f>
        <v>66</v>
      </c>
      <c r="C78">
        <f t="shared" si="1"/>
        <v>1.1000000000000001</v>
      </c>
    </row>
    <row r="79" spans="1:3" x14ac:dyDescent="0.3">
      <c r="A79" s="22">
        <v>77010000041</v>
      </c>
      <c r="B79" s="20">
        <f>SUMIFS('База данных'!E:E,'База данных'!A:A,Лист2!A79)</f>
        <v>54</v>
      </c>
      <c r="C79">
        <f t="shared" si="1"/>
        <v>0.9</v>
      </c>
    </row>
    <row r="80" spans="1:3" x14ac:dyDescent="0.3">
      <c r="A80" s="22">
        <v>77010000044</v>
      </c>
      <c r="B80" s="20">
        <f>SUMIFS('База данных'!E:E,'База данных'!A:A,Лист2!A80)</f>
        <v>47</v>
      </c>
      <c r="C80">
        <f t="shared" si="1"/>
        <v>0.78333333333333333</v>
      </c>
    </row>
    <row r="81" spans="1:3" x14ac:dyDescent="0.3">
      <c r="A81" s="22">
        <v>77010000091</v>
      </c>
      <c r="B81" s="20">
        <f>SUMIFS('База данных'!E:E,'База данных'!A:A,Лист2!A81)</f>
        <v>34</v>
      </c>
      <c r="C81">
        <f t="shared" si="1"/>
        <v>0.56666666666666665</v>
      </c>
    </row>
    <row r="82" spans="1:3" x14ac:dyDescent="0.3">
      <c r="A82" s="22">
        <v>77010000021</v>
      </c>
      <c r="B82" s="20">
        <f>SUMIFS('База данных'!E:E,'База данных'!A:A,Лист2!A82)</f>
        <v>27</v>
      </c>
      <c r="C82">
        <f t="shared" si="1"/>
        <v>0.45</v>
      </c>
    </row>
    <row r="83" spans="1:3" x14ac:dyDescent="0.3">
      <c r="A83" s="22">
        <v>77010000026</v>
      </c>
      <c r="B83" s="20">
        <f>SUMIFS('База данных'!E:E,'База данных'!A:A,Лист2!A83)</f>
        <v>32</v>
      </c>
      <c r="C83">
        <f t="shared" si="1"/>
        <v>0.53333333333333333</v>
      </c>
    </row>
    <row r="84" spans="1:3" x14ac:dyDescent="0.3">
      <c r="A84" s="22">
        <v>77010000029</v>
      </c>
      <c r="B84" s="20">
        <f>SUMIFS('База данных'!E:E,'База данных'!A:A,Лист2!A84)</f>
        <v>27</v>
      </c>
      <c r="C84">
        <f t="shared" si="1"/>
        <v>0.45</v>
      </c>
    </row>
    <row r="85" spans="1:3" x14ac:dyDescent="0.3">
      <c r="A85" s="22">
        <v>77010000038</v>
      </c>
      <c r="B85" s="20">
        <f>SUMIFS('База данных'!E:E,'База данных'!A:A,Лист2!A85)</f>
        <v>43</v>
      </c>
      <c r="C85">
        <f t="shared" si="1"/>
        <v>0.71666666666666667</v>
      </c>
    </row>
    <row r="86" spans="1:3" x14ac:dyDescent="0.3">
      <c r="A86" s="22">
        <v>77010000020</v>
      </c>
      <c r="B86" s="20">
        <f>SUMIFS('База данных'!E:E,'База данных'!A:A,Лист2!A86)</f>
        <v>35</v>
      </c>
      <c r="C86">
        <f t="shared" si="1"/>
        <v>0.58333333333333337</v>
      </c>
    </row>
    <row r="87" spans="1:3" x14ac:dyDescent="0.3">
      <c r="A87" s="22">
        <v>77010000025</v>
      </c>
      <c r="B87" s="20">
        <f>SUMIFS('База данных'!E:E,'База данных'!A:A,Лист2!A87)</f>
        <v>36</v>
      </c>
      <c r="C87">
        <f t="shared" si="1"/>
        <v>0.6</v>
      </c>
    </row>
    <row r="88" spans="1:3" x14ac:dyDescent="0.3">
      <c r="A88" s="22">
        <v>77010000012</v>
      </c>
      <c r="B88" s="20">
        <f>SUMIFS('База данных'!E:E,'База данных'!A:A,Лист2!A88)</f>
        <v>34</v>
      </c>
      <c r="C88">
        <f t="shared" si="1"/>
        <v>0.56666666666666665</v>
      </c>
    </row>
    <row r="89" spans="1:3" x14ac:dyDescent="0.3">
      <c r="A89" s="22">
        <v>77010000024</v>
      </c>
      <c r="B89" s="20">
        <f>SUMIFS('База данных'!E:E,'База данных'!A:A,Лист2!A89)</f>
        <v>32</v>
      </c>
      <c r="C89">
        <f t="shared" si="1"/>
        <v>0.53333333333333333</v>
      </c>
    </row>
    <row r="90" spans="1:3" x14ac:dyDescent="0.3">
      <c r="A90" s="22">
        <v>77010000087</v>
      </c>
      <c r="B90" s="20">
        <f>SUMIFS('База данных'!E:E,'База данных'!A:A,Лист2!A90)</f>
        <v>15</v>
      </c>
      <c r="C90">
        <f t="shared" si="1"/>
        <v>0.25</v>
      </c>
    </row>
    <row r="91" spans="1:3" x14ac:dyDescent="0.3">
      <c r="A91" s="22">
        <v>77010000096</v>
      </c>
      <c r="B91" s="20">
        <f>SUMIFS('База данных'!E:E,'База данных'!A:A,Лист2!A91)</f>
        <v>15</v>
      </c>
      <c r="C91">
        <f t="shared" si="1"/>
        <v>0.25</v>
      </c>
    </row>
    <row r="92" spans="1:3" x14ac:dyDescent="0.3">
      <c r="A92" s="22">
        <v>77010000072</v>
      </c>
      <c r="B92" s="20">
        <f>SUMIFS('База данных'!E:E,'База данных'!A:A,Лист2!A92)</f>
        <v>31</v>
      </c>
      <c r="C92">
        <f t="shared" si="1"/>
        <v>0.51666666666666672</v>
      </c>
    </row>
    <row r="93" spans="1:3" x14ac:dyDescent="0.3">
      <c r="A93" s="22">
        <v>77010000071</v>
      </c>
      <c r="B93" s="20">
        <f>SUMIFS('База данных'!E:E,'База данных'!A:A,Лист2!A93)</f>
        <v>16</v>
      </c>
      <c r="C93">
        <f t="shared" si="1"/>
        <v>0.26666666666666666</v>
      </c>
    </row>
    <row r="94" spans="1:3" x14ac:dyDescent="0.3">
      <c r="A94" s="22">
        <v>77010000028</v>
      </c>
      <c r="B94" s="20">
        <f>SUMIFS('База данных'!E:E,'База данных'!A:A,Лист2!A94)</f>
        <v>33</v>
      </c>
      <c r="C94">
        <f t="shared" si="1"/>
        <v>0.55000000000000004</v>
      </c>
    </row>
    <row r="95" spans="1:3" x14ac:dyDescent="0.3">
      <c r="A95" s="22">
        <v>77010000030</v>
      </c>
      <c r="B95" s="20">
        <f>SUMIFS('База данных'!E:E,'База данных'!A:A,Лист2!A95)</f>
        <v>43</v>
      </c>
      <c r="C95">
        <f t="shared" si="1"/>
        <v>0.71666666666666667</v>
      </c>
    </row>
    <row r="96" spans="1:3" x14ac:dyDescent="0.3">
      <c r="A96" s="22">
        <v>77010000019</v>
      </c>
      <c r="B96" s="20">
        <f>SUMIFS('База данных'!E:E,'База данных'!A:A,Лист2!A96)</f>
        <v>50</v>
      </c>
      <c r="C96">
        <f t="shared" si="1"/>
        <v>0.83333333333333337</v>
      </c>
    </row>
    <row r="97" spans="1:3" x14ac:dyDescent="0.3">
      <c r="A97" s="22">
        <v>77010000015</v>
      </c>
      <c r="B97" s="20">
        <f>SUMIFS('База данных'!E:E,'База данных'!A:A,Лист2!A97)</f>
        <v>50</v>
      </c>
      <c r="C97">
        <f t="shared" si="1"/>
        <v>0.83333333333333337</v>
      </c>
    </row>
    <row r="98" spans="1:3" x14ac:dyDescent="0.3">
      <c r="A98" s="22">
        <v>77010000112</v>
      </c>
      <c r="B98" s="20">
        <f>SUMIFS('База данных'!E:E,'База данных'!A:A,Лист2!A98)</f>
        <v>44</v>
      </c>
      <c r="C98">
        <f t="shared" si="1"/>
        <v>0.73333333333333328</v>
      </c>
    </row>
    <row r="99" spans="1:3" x14ac:dyDescent="0.3">
      <c r="A99" s="22">
        <v>77010000114</v>
      </c>
      <c r="B99" s="20">
        <f>SUMIFS('База данных'!E:E,'База данных'!A:A,Лист2!A99)</f>
        <v>42</v>
      </c>
      <c r="C99">
        <f t="shared" si="1"/>
        <v>0.7</v>
      </c>
    </row>
    <row r="100" spans="1:3" x14ac:dyDescent="0.3">
      <c r="A100" s="22">
        <v>77010000118</v>
      </c>
      <c r="B100" s="20">
        <f>SUMIFS('База данных'!E:E,'База данных'!A:A,Лист2!A100)</f>
        <v>1</v>
      </c>
      <c r="C100">
        <f t="shared" si="1"/>
        <v>1.6666666666666666E-2</v>
      </c>
    </row>
    <row r="101" spans="1:3" x14ac:dyDescent="0.3">
      <c r="A101" s="22">
        <v>77010000120</v>
      </c>
      <c r="B101" s="20">
        <f>SUMIFS('База данных'!E:E,'База данных'!A:A,Лист2!A101)</f>
        <v>16</v>
      </c>
      <c r="C101">
        <f t="shared" si="1"/>
        <v>0.26666666666666666</v>
      </c>
    </row>
    <row r="102" spans="1:3" x14ac:dyDescent="0.3">
      <c r="A102" s="22">
        <v>77010000115</v>
      </c>
      <c r="B102" s="20">
        <f>SUMIFS('База данных'!E:E,'База данных'!A:A,Лист2!A102)</f>
        <v>57</v>
      </c>
      <c r="C102">
        <f t="shared" si="1"/>
        <v>0.95</v>
      </c>
    </row>
    <row r="103" spans="1:3" x14ac:dyDescent="0.3">
      <c r="A103" s="22">
        <v>77010000121</v>
      </c>
      <c r="B103" s="20">
        <f>SUMIFS('База данных'!E:E,'База данных'!A:A,Лист2!A103)</f>
        <v>97</v>
      </c>
      <c r="C103">
        <f t="shared" si="1"/>
        <v>1.6166666666666667</v>
      </c>
    </row>
    <row r="104" spans="1:3" x14ac:dyDescent="0.3">
      <c r="A104" s="22">
        <v>77010000125</v>
      </c>
      <c r="B104" s="20">
        <f>SUMIFS('База данных'!E:E,'База данных'!A:A,Лист2!A104)</f>
        <v>29</v>
      </c>
      <c r="C104">
        <f t="shared" si="1"/>
        <v>0.48333333333333334</v>
      </c>
    </row>
    <row r="105" spans="1:3" x14ac:dyDescent="0.3">
      <c r="A105" s="22">
        <v>77010000103</v>
      </c>
      <c r="B105" s="20">
        <f>SUMIFS('База данных'!E:E,'База данных'!A:A,Лист2!A105)</f>
        <v>3</v>
      </c>
      <c r="C105">
        <f t="shared" si="1"/>
        <v>0.05</v>
      </c>
    </row>
    <row r="106" spans="1:3" x14ac:dyDescent="0.3">
      <c r="A106" s="22">
        <v>77010000110</v>
      </c>
      <c r="B106" s="20">
        <f>SUMIFS('База данных'!E:E,'База данных'!A:A,Лист2!A106)</f>
        <v>55</v>
      </c>
      <c r="C106">
        <f t="shared" si="1"/>
        <v>0.91666666666666663</v>
      </c>
    </row>
    <row r="107" spans="1:3" x14ac:dyDescent="0.3">
      <c r="A107" s="22">
        <v>77010000128</v>
      </c>
      <c r="B107" s="20">
        <f>SUMIFS('База данных'!E:E,'База данных'!A:A,Лист2!A107)</f>
        <v>36</v>
      </c>
      <c r="C107">
        <f t="shared" si="1"/>
        <v>0.6</v>
      </c>
    </row>
    <row r="108" spans="1:3" x14ac:dyDescent="0.3">
      <c r="A108" s="22">
        <v>77010000126</v>
      </c>
      <c r="B108" s="20">
        <f>SUMIFS('База данных'!E:E,'База данных'!A:A,Лист2!A108)</f>
        <v>58</v>
      </c>
      <c r="C108">
        <f t="shared" si="1"/>
        <v>0.96666666666666667</v>
      </c>
    </row>
    <row r="109" spans="1:3" x14ac:dyDescent="0.3">
      <c r="A109" s="22">
        <v>77010000127</v>
      </c>
      <c r="B109" s="20">
        <f>SUMIFS('База данных'!E:E,'База данных'!A:A,Лист2!A109)</f>
        <v>37</v>
      </c>
      <c r="C109">
        <f t="shared" si="1"/>
        <v>0.6166666666666667</v>
      </c>
    </row>
    <row r="110" spans="1:3" x14ac:dyDescent="0.3">
      <c r="A110" s="22">
        <v>77010000100</v>
      </c>
      <c r="B110" s="20">
        <f>SUMIFS('База данных'!E:E,'База данных'!A:A,Лист2!A110)</f>
        <v>7</v>
      </c>
      <c r="C110">
        <f t="shared" si="1"/>
        <v>0.11666666666666667</v>
      </c>
    </row>
    <row r="111" spans="1:3" x14ac:dyDescent="0.3">
      <c r="A111" s="22">
        <v>77010000102</v>
      </c>
      <c r="B111" s="20">
        <f>SUMIFS('База данных'!E:E,'База данных'!A:A,Лист2!A111)</f>
        <v>7</v>
      </c>
      <c r="C111">
        <f t="shared" si="1"/>
        <v>0.11666666666666667</v>
      </c>
    </row>
    <row r="112" spans="1:3" x14ac:dyDescent="0.3">
      <c r="A112" s="22">
        <v>77010000124</v>
      </c>
      <c r="B112" s="20">
        <f>SUMIFS('База данных'!E:E,'База данных'!A:A,Лист2!A112)</f>
        <v>62</v>
      </c>
      <c r="C112">
        <f t="shared" si="1"/>
        <v>1.0333333333333334</v>
      </c>
    </row>
    <row r="113" spans="1:3" x14ac:dyDescent="0.3">
      <c r="A113" s="22">
        <v>77010000111</v>
      </c>
      <c r="B113" s="20">
        <f>SUMIFS('База данных'!E:E,'База данных'!A:A,Лист2!A113)</f>
        <v>48</v>
      </c>
      <c r="C113">
        <f t="shared" si="1"/>
        <v>0.8</v>
      </c>
    </row>
    <row r="114" spans="1:3" x14ac:dyDescent="0.3">
      <c r="A114" s="22">
        <v>77010000129</v>
      </c>
      <c r="B114" s="20">
        <f>SUMIFS('База данных'!E:E,'База данных'!A:A,Лист2!A114)</f>
        <v>72</v>
      </c>
      <c r="C114">
        <f t="shared" si="1"/>
        <v>1.2</v>
      </c>
    </row>
    <row r="115" spans="1:3" x14ac:dyDescent="0.3">
      <c r="A115" s="22">
        <v>77010000098</v>
      </c>
      <c r="B115" s="20">
        <f>SUMIFS('База данных'!E:E,'База данных'!A:A,Лист2!A115)</f>
        <v>10</v>
      </c>
      <c r="C115">
        <f t="shared" si="1"/>
        <v>0.16666666666666666</v>
      </c>
    </row>
    <row r="116" spans="1:3" x14ac:dyDescent="0.3">
      <c r="A116" s="22">
        <v>77010000104</v>
      </c>
      <c r="B116" s="20">
        <f>SUMIFS('База данных'!E:E,'База данных'!A:A,Лист2!A116)</f>
        <v>10</v>
      </c>
      <c r="C116">
        <f t="shared" si="1"/>
        <v>0.16666666666666666</v>
      </c>
    </row>
    <row r="117" spans="1:3" x14ac:dyDescent="0.3">
      <c r="A117" s="22">
        <v>77010000106</v>
      </c>
      <c r="B117" s="20">
        <f>SUMIFS('База данных'!E:E,'База данных'!A:A,Лист2!A117)</f>
        <v>40</v>
      </c>
      <c r="C117">
        <f t="shared" si="1"/>
        <v>0.66666666666666663</v>
      </c>
    </row>
    <row r="118" spans="1:3" x14ac:dyDescent="0.3">
      <c r="A118" s="22">
        <v>77010000107</v>
      </c>
      <c r="B118" s="20">
        <f>SUMIFS('База данных'!E:E,'База данных'!A:A,Лист2!A118)</f>
        <v>96</v>
      </c>
      <c r="C118">
        <f t="shared" si="1"/>
        <v>1.6</v>
      </c>
    </row>
    <row r="119" spans="1:3" x14ac:dyDescent="0.3">
      <c r="A119" s="22">
        <v>77010000105</v>
      </c>
      <c r="B119" s="20">
        <f>SUMIFS('База данных'!E:E,'База данных'!A:A,Лист2!A119)</f>
        <v>32</v>
      </c>
      <c r="C119">
        <f t="shared" si="1"/>
        <v>0.53333333333333333</v>
      </c>
    </row>
    <row r="120" spans="1:3" x14ac:dyDescent="0.3">
      <c r="A120" s="22">
        <v>77010000117</v>
      </c>
      <c r="B120" s="20">
        <f>SUMIFS('База данных'!E:E,'База данных'!A:A,Лист2!A120)</f>
        <v>17</v>
      </c>
      <c r="C120">
        <f t="shared" si="1"/>
        <v>0.28333333333333333</v>
      </c>
    </row>
    <row r="121" spans="1:3" x14ac:dyDescent="0.3">
      <c r="A121" s="22">
        <v>77010000123</v>
      </c>
      <c r="B121" s="20">
        <f>SUMIFS('База данных'!E:E,'База данных'!A:A,Лист2!A121)</f>
        <v>103</v>
      </c>
      <c r="C121">
        <f t="shared" si="1"/>
        <v>1.7166666666666666</v>
      </c>
    </row>
    <row r="122" spans="1:3" x14ac:dyDescent="0.3">
      <c r="A122" s="22">
        <v>77010000113</v>
      </c>
      <c r="B122" s="20">
        <f>SUMIFS('База данных'!E:E,'База данных'!A:A,Лист2!A122)</f>
        <v>78</v>
      </c>
      <c r="C122">
        <f t="shared" si="1"/>
        <v>1.3</v>
      </c>
    </row>
    <row r="123" spans="1:3" x14ac:dyDescent="0.3">
      <c r="A123" s="22">
        <v>77010000119</v>
      </c>
      <c r="B123" s="20">
        <f>SUMIFS('База данных'!E:E,'База данных'!A:A,Лист2!A123)</f>
        <v>19</v>
      </c>
      <c r="C123">
        <f t="shared" si="1"/>
        <v>0.31666666666666665</v>
      </c>
    </row>
    <row r="124" spans="1:3" x14ac:dyDescent="0.3">
      <c r="A124" s="22">
        <v>77010000116</v>
      </c>
      <c r="B124" s="20">
        <f>SUMIFS('База данных'!E:E,'База данных'!A:A,Лист2!A124)</f>
        <v>24</v>
      </c>
      <c r="C124">
        <f t="shared" si="1"/>
        <v>0.4</v>
      </c>
    </row>
    <row r="125" spans="1:3" x14ac:dyDescent="0.3">
      <c r="A125" s="22">
        <v>77010000122</v>
      </c>
      <c r="B125" s="20">
        <f>SUMIFS('База данных'!E:E,'База данных'!A:A,Лист2!A125)</f>
        <v>191</v>
      </c>
      <c r="C125">
        <f t="shared" si="1"/>
        <v>3.1833333333333331</v>
      </c>
    </row>
    <row r="126" spans="1:3" x14ac:dyDescent="0.3">
      <c r="A126" s="22">
        <v>77010000109</v>
      </c>
      <c r="B126" s="20">
        <f>SUMIFS('База данных'!E:E,'База данных'!A:A,Лист2!A126)</f>
        <v>191</v>
      </c>
      <c r="C126">
        <f t="shared" si="1"/>
        <v>3.1833333333333331</v>
      </c>
    </row>
    <row r="127" spans="1:3" x14ac:dyDescent="0.3">
      <c r="A127" s="22">
        <v>77010000108</v>
      </c>
      <c r="B127" s="20">
        <f>SUMIFS('База данных'!E:E,'База данных'!A:A,Лист2!A127)</f>
        <v>89</v>
      </c>
      <c r="C127">
        <f t="shared" si="1"/>
        <v>1.4833333333333334</v>
      </c>
    </row>
    <row r="128" spans="1:3" x14ac:dyDescent="0.3">
      <c r="A128" s="22">
        <v>77010000101</v>
      </c>
      <c r="B128" s="20">
        <f>SUMIFS('База данных'!E:E,'База данных'!A:A,Лист2!A128)</f>
        <v>41</v>
      </c>
      <c r="C128">
        <f t="shared" si="1"/>
        <v>0.68333333333333335</v>
      </c>
    </row>
    <row r="129" spans="1:3" x14ac:dyDescent="0.3">
      <c r="A129" s="22">
        <v>77010000099</v>
      </c>
      <c r="B129" s="20">
        <f>SUMIFS('База данных'!E:E,'База данных'!A:A,Лист2!A129)</f>
        <v>146</v>
      </c>
      <c r="C129">
        <f t="shared" si="1"/>
        <v>2.4333333333333331</v>
      </c>
    </row>
    <row r="130" spans="1:3" x14ac:dyDescent="0.3">
      <c r="A130" s="22">
        <v>77010000138</v>
      </c>
      <c r="B130" s="20">
        <f>SUMIFS('База данных'!E:E,'База данных'!A:A,Лист2!A130)</f>
        <v>1</v>
      </c>
      <c r="C130">
        <f t="shared" si="1"/>
        <v>1.6666666666666666E-2</v>
      </c>
    </row>
    <row r="131" spans="1:3" x14ac:dyDescent="0.3">
      <c r="A131" s="22">
        <v>77010000135</v>
      </c>
      <c r="B131" s="20">
        <f>SUMIFS('База данных'!E:E,'База данных'!A:A,Лист2!A131)</f>
        <v>15</v>
      </c>
      <c r="C131">
        <f t="shared" ref="C131:C194" si="2">B131/60</f>
        <v>0.25</v>
      </c>
    </row>
    <row r="132" spans="1:3" x14ac:dyDescent="0.3">
      <c r="A132" s="22">
        <v>77010000134</v>
      </c>
      <c r="B132" s="20">
        <f>SUMIFS('База данных'!E:E,'База данных'!A:A,Лист2!A132)</f>
        <v>29</v>
      </c>
      <c r="C132">
        <f t="shared" si="2"/>
        <v>0.48333333333333334</v>
      </c>
    </row>
    <row r="133" spans="1:3" x14ac:dyDescent="0.3">
      <c r="A133" s="22">
        <v>77010000130</v>
      </c>
      <c r="B133" s="20">
        <f>SUMIFS('База данных'!E:E,'База данных'!A:A,Лист2!A133)</f>
        <v>113</v>
      </c>
      <c r="C133">
        <f t="shared" si="2"/>
        <v>1.8833333333333333</v>
      </c>
    </row>
    <row r="134" spans="1:3" x14ac:dyDescent="0.3">
      <c r="A134" s="22">
        <v>77010000131</v>
      </c>
      <c r="B134" s="20">
        <f>SUMIFS('База данных'!E:E,'База данных'!A:A,Лист2!A134)</f>
        <v>49</v>
      </c>
      <c r="C134">
        <f t="shared" si="2"/>
        <v>0.81666666666666665</v>
      </c>
    </row>
    <row r="135" spans="1:3" x14ac:dyDescent="0.3">
      <c r="A135" s="22">
        <v>77010000145</v>
      </c>
      <c r="B135" s="20">
        <f>SUMIFS('База данных'!E:E,'База данных'!A:A,Лист2!A135)</f>
        <v>9</v>
      </c>
      <c r="C135">
        <f t="shared" si="2"/>
        <v>0.15</v>
      </c>
    </row>
    <row r="136" spans="1:3" x14ac:dyDescent="0.3">
      <c r="A136" s="22">
        <v>77010000137</v>
      </c>
      <c r="B136" s="20">
        <f>SUMIFS('База данных'!E:E,'База данных'!A:A,Лист2!A136)</f>
        <v>10</v>
      </c>
      <c r="C136">
        <f t="shared" si="2"/>
        <v>0.16666666666666666</v>
      </c>
    </row>
    <row r="137" spans="1:3" x14ac:dyDescent="0.3">
      <c r="A137" s="22">
        <v>77010000132</v>
      </c>
      <c r="B137" s="20">
        <f>SUMIFS('База данных'!E:E,'База данных'!A:A,Лист2!A137)</f>
        <v>110</v>
      </c>
      <c r="C137">
        <f t="shared" si="2"/>
        <v>1.8333333333333333</v>
      </c>
    </row>
    <row r="138" spans="1:3" x14ac:dyDescent="0.3">
      <c r="A138" s="22">
        <v>77010000139</v>
      </c>
      <c r="B138" s="20">
        <f>SUMIFS('База данных'!E:E,'База данных'!A:A,Лист2!A138)</f>
        <v>12</v>
      </c>
      <c r="C138">
        <f t="shared" si="2"/>
        <v>0.2</v>
      </c>
    </row>
    <row r="139" spans="1:3" x14ac:dyDescent="0.3">
      <c r="A139" s="22">
        <v>77010000136</v>
      </c>
      <c r="B139" s="20">
        <f>SUMIFS('База данных'!E:E,'База данных'!A:A,Лист2!A139)</f>
        <v>36</v>
      </c>
      <c r="C139">
        <f t="shared" si="2"/>
        <v>0.6</v>
      </c>
    </row>
    <row r="140" spans="1:3" x14ac:dyDescent="0.3">
      <c r="A140" s="22">
        <v>77010000144</v>
      </c>
      <c r="B140" s="20">
        <f>SUMIFS('База данных'!E:E,'База данных'!A:A,Лист2!A140)</f>
        <v>15</v>
      </c>
      <c r="C140">
        <f t="shared" si="2"/>
        <v>0.25</v>
      </c>
    </row>
    <row r="141" spans="1:3" x14ac:dyDescent="0.3">
      <c r="A141" s="22">
        <v>77010000143</v>
      </c>
      <c r="B141" s="20">
        <f>SUMIFS('База данных'!E:E,'База данных'!A:A,Лист2!A141)</f>
        <v>18</v>
      </c>
      <c r="C141">
        <f t="shared" si="2"/>
        <v>0.3</v>
      </c>
    </row>
    <row r="142" spans="1:3" x14ac:dyDescent="0.3">
      <c r="A142" s="22">
        <v>77010000141</v>
      </c>
      <c r="B142" s="20">
        <f>SUMIFS('База данных'!E:E,'База данных'!A:A,Лист2!A142)</f>
        <v>21</v>
      </c>
      <c r="C142">
        <f t="shared" si="2"/>
        <v>0.35</v>
      </c>
    </row>
    <row r="143" spans="1:3" x14ac:dyDescent="0.3">
      <c r="A143" s="22">
        <v>77010000133</v>
      </c>
      <c r="B143" s="20">
        <f>SUMIFS('База данных'!E:E,'База данных'!A:A,Лист2!A143)</f>
        <v>98</v>
      </c>
      <c r="C143">
        <f t="shared" si="2"/>
        <v>1.6333333333333333</v>
      </c>
    </row>
    <row r="144" spans="1:3" x14ac:dyDescent="0.3">
      <c r="A144" s="22">
        <v>77010000146</v>
      </c>
      <c r="B144" s="20">
        <f>SUMIFS('База данных'!E:E,'База данных'!A:A,Лист2!A144)</f>
        <v>37</v>
      </c>
      <c r="C144">
        <f t="shared" si="2"/>
        <v>0.6166666666666667</v>
      </c>
    </row>
    <row r="145" spans="1:3" x14ac:dyDescent="0.3">
      <c r="A145" s="22">
        <v>77010000140</v>
      </c>
      <c r="B145" s="20">
        <f>SUMIFS('База данных'!E:E,'База данных'!A:A,Лист2!A145)</f>
        <v>44</v>
      </c>
      <c r="C145">
        <f t="shared" si="2"/>
        <v>0.73333333333333328</v>
      </c>
    </row>
    <row r="146" spans="1:3" x14ac:dyDescent="0.3">
      <c r="A146" s="22">
        <v>77010000142</v>
      </c>
      <c r="B146" s="20">
        <f>SUMIFS('База данных'!E:E,'База данных'!A:A,Лист2!A146)</f>
        <v>95</v>
      </c>
      <c r="C146">
        <f t="shared" si="2"/>
        <v>1.5833333333333333</v>
      </c>
    </row>
    <row r="147" spans="1:3" x14ac:dyDescent="0.3">
      <c r="A147" s="22">
        <v>77010000150</v>
      </c>
      <c r="B147" s="20">
        <f>SUMIFS('База данных'!E:E,'База данных'!A:A,Лист2!A147)</f>
        <v>52</v>
      </c>
      <c r="C147">
        <f t="shared" si="2"/>
        <v>0.8666666666666667</v>
      </c>
    </row>
    <row r="148" spans="1:3" x14ac:dyDescent="0.3">
      <c r="A148" s="22">
        <v>77010000148</v>
      </c>
      <c r="B148" s="20">
        <f>SUMIFS('База данных'!E:E,'База данных'!A:A,Лист2!A148)</f>
        <v>38</v>
      </c>
      <c r="C148">
        <f t="shared" si="2"/>
        <v>0.6333333333333333</v>
      </c>
    </row>
    <row r="149" spans="1:3" x14ac:dyDescent="0.3">
      <c r="A149" s="22">
        <v>77010000147</v>
      </c>
      <c r="B149" s="20">
        <f>SUMIFS('База данных'!E:E,'База данных'!A:A,Лист2!A149)</f>
        <v>16</v>
      </c>
      <c r="C149">
        <f t="shared" si="2"/>
        <v>0.26666666666666666</v>
      </c>
    </row>
    <row r="150" spans="1:3" x14ac:dyDescent="0.3">
      <c r="A150" s="22">
        <v>77010000149</v>
      </c>
      <c r="B150" s="20">
        <f>SUMIFS('База данных'!E:E,'База данных'!A:A,Лист2!A150)</f>
        <v>40</v>
      </c>
      <c r="C150">
        <f t="shared" si="2"/>
        <v>0.66666666666666663</v>
      </c>
    </row>
    <row r="151" spans="1:3" x14ac:dyDescent="0.3">
      <c r="A151" s="22">
        <v>77010000151</v>
      </c>
      <c r="B151" s="20">
        <f>SUMIFS('База данных'!E:E,'База данных'!A:A,Лист2!A151)</f>
        <v>66</v>
      </c>
      <c r="C151">
        <f t="shared" si="2"/>
        <v>1.1000000000000001</v>
      </c>
    </row>
    <row r="152" spans="1:3" x14ac:dyDescent="0.3">
      <c r="A152" s="22">
        <v>77010000152</v>
      </c>
      <c r="B152" s="20">
        <f>SUMIFS('База данных'!E:E,'База данных'!A:A,Лист2!A152)</f>
        <v>21</v>
      </c>
      <c r="C152">
        <f t="shared" si="2"/>
        <v>0.35</v>
      </c>
    </row>
    <row r="153" spans="1:3" x14ac:dyDescent="0.3">
      <c r="A153" s="22">
        <v>77010000154</v>
      </c>
      <c r="B153" s="20">
        <f>SUMIFS('База данных'!E:E,'База данных'!A:A,Лист2!A153)</f>
        <v>24</v>
      </c>
      <c r="C153">
        <f t="shared" si="2"/>
        <v>0.4</v>
      </c>
    </row>
    <row r="154" spans="1:3" x14ac:dyDescent="0.3">
      <c r="A154" s="22">
        <v>77010000153</v>
      </c>
      <c r="B154" s="20">
        <f>SUMIFS('База данных'!E:E,'База данных'!A:A,Лист2!A154)</f>
        <v>46</v>
      </c>
      <c r="C154">
        <f t="shared" si="2"/>
        <v>0.76666666666666672</v>
      </c>
    </row>
    <row r="155" spans="1:3" x14ac:dyDescent="0.3">
      <c r="A155" s="22">
        <v>77010000174</v>
      </c>
      <c r="B155" s="20">
        <f>SUMIFS('База данных'!E:E,'База данных'!A:A,Лист2!A155)</f>
        <v>0</v>
      </c>
      <c r="C155">
        <f t="shared" si="2"/>
        <v>0</v>
      </c>
    </row>
    <row r="156" spans="1:3" x14ac:dyDescent="0.3">
      <c r="A156" s="22">
        <v>77010000181</v>
      </c>
      <c r="B156" s="20">
        <f>SUMIFS('База данных'!E:E,'База данных'!A:A,Лист2!A156)</f>
        <v>32</v>
      </c>
      <c r="C156">
        <f t="shared" si="2"/>
        <v>0.53333333333333333</v>
      </c>
    </row>
    <row r="157" spans="1:3" x14ac:dyDescent="0.3">
      <c r="A157" s="22">
        <v>77010000162</v>
      </c>
      <c r="B157" s="20">
        <f>SUMIFS('База данных'!E:E,'База данных'!A:A,Лист2!A157)</f>
        <v>6</v>
      </c>
      <c r="C157">
        <f t="shared" si="2"/>
        <v>0.1</v>
      </c>
    </row>
    <row r="158" spans="1:3" x14ac:dyDescent="0.3">
      <c r="A158" s="22">
        <v>77010000165</v>
      </c>
      <c r="B158" s="20">
        <f>SUMIFS('База данных'!E:E,'База данных'!A:A,Лист2!A158)</f>
        <v>3</v>
      </c>
      <c r="C158">
        <f t="shared" si="2"/>
        <v>0.05</v>
      </c>
    </row>
    <row r="159" spans="1:3" x14ac:dyDescent="0.3">
      <c r="A159" s="22">
        <v>77010000166</v>
      </c>
      <c r="B159" s="20">
        <f>SUMIFS('База данных'!E:E,'База данных'!A:A,Лист2!A159)</f>
        <v>9</v>
      </c>
      <c r="C159">
        <f t="shared" si="2"/>
        <v>0.15</v>
      </c>
    </row>
    <row r="160" spans="1:3" x14ac:dyDescent="0.3">
      <c r="A160" s="22">
        <v>77010000170</v>
      </c>
      <c r="B160" s="20">
        <f>SUMIFS('База данных'!E:E,'База данных'!A:A,Лист2!A160)</f>
        <v>29</v>
      </c>
      <c r="C160">
        <f t="shared" si="2"/>
        <v>0.48333333333333334</v>
      </c>
    </row>
    <row r="161" spans="1:3" x14ac:dyDescent="0.3">
      <c r="A161" s="22">
        <v>77010000175</v>
      </c>
      <c r="B161" s="20">
        <f>SUMIFS('База данных'!E:E,'База данных'!A:A,Лист2!A161)</f>
        <v>8</v>
      </c>
      <c r="C161">
        <f t="shared" si="2"/>
        <v>0.13333333333333333</v>
      </c>
    </row>
    <row r="162" spans="1:3" x14ac:dyDescent="0.3">
      <c r="A162" s="22">
        <v>77010000182</v>
      </c>
      <c r="B162" s="20">
        <f>SUMIFS('База данных'!E:E,'База данных'!A:A,Лист2!A162)</f>
        <v>19</v>
      </c>
      <c r="C162">
        <f t="shared" si="2"/>
        <v>0.31666666666666665</v>
      </c>
    </row>
    <row r="163" spans="1:3" x14ac:dyDescent="0.3">
      <c r="A163" s="22">
        <v>77010000187</v>
      </c>
      <c r="B163" s="20">
        <f>SUMIFS('База данных'!E:E,'База данных'!A:A,Лист2!A163)</f>
        <v>13</v>
      </c>
      <c r="C163">
        <f t="shared" si="2"/>
        <v>0.21666666666666667</v>
      </c>
    </row>
    <row r="164" spans="1:3" x14ac:dyDescent="0.3">
      <c r="A164" s="22">
        <v>77010000193</v>
      </c>
      <c r="B164" s="20">
        <f>SUMIFS('База данных'!E:E,'База данных'!A:A,Лист2!A164)</f>
        <v>7</v>
      </c>
      <c r="C164">
        <f t="shared" si="2"/>
        <v>0.11666666666666667</v>
      </c>
    </row>
    <row r="165" spans="1:3" x14ac:dyDescent="0.3">
      <c r="A165" s="22">
        <v>77010000195</v>
      </c>
      <c r="B165" s="20">
        <f>SUMIFS('База данных'!E:E,'База данных'!A:A,Лист2!A165)</f>
        <v>23</v>
      </c>
      <c r="C165">
        <f t="shared" si="2"/>
        <v>0.38333333333333336</v>
      </c>
    </row>
    <row r="166" spans="1:3" x14ac:dyDescent="0.3">
      <c r="A166" s="22">
        <v>77010000198</v>
      </c>
      <c r="B166" s="20">
        <f>SUMIFS('База данных'!E:E,'База данных'!A:A,Лист2!A166)</f>
        <v>1</v>
      </c>
      <c r="C166">
        <f t="shared" si="2"/>
        <v>1.6666666666666666E-2</v>
      </c>
    </row>
    <row r="167" spans="1:3" x14ac:dyDescent="0.3">
      <c r="A167" s="22">
        <v>77010000171</v>
      </c>
      <c r="B167" s="20">
        <f>SUMIFS('База данных'!E:E,'База данных'!A:A,Лист2!A167)</f>
        <v>12</v>
      </c>
      <c r="C167">
        <f t="shared" si="2"/>
        <v>0.2</v>
      </c>
    </row>
    <row r="168" spans="1:3" x14ac:dyDescent="0.3">
      <c r="A168" s="22">
        <v>77010000173</v>
      </c>
      <c r="B168" s="20">
        <f>SUMIFS('База данных'!E:E,'База данных'!A:A,Лист2!A168)</f>
        <v>25</v>
      </c>
      <c r="C168">
        <f t="shared" si="2"/>
        <v>0.41666666666666669</v>
      </c>
    </row>
    <row r="169" spans="1:3" x14ac:dyDescent="0.3">
      <c r="A169" s="22">
        <v>77010000185</v>
      </c>
      <c r="B169" s="20">
        <f>SUMIFS('База данных'!E:E,'База данных'!A:A,Лист2!A169)</f>
        <v>22</v>
      </c>
      <c r="C169">
        <f t="shared" si="2"/>
        <v>0.36666666666666664</v>
      </c>
    </row>
    <row r="170" spans="1:3" x14ac:dyDescent="0.3">
      <c r="A170" s="22">
        <v>77010000205</v>
      </c>
      <c r="B170" s="20">
        <f>SUMIFS('База данных'!E:E,'База данных'!A:A,Лист2!A170)</f>
        <v>34</v>
      </c>
      <c r="C170">
        <f t="shared" si="2"/>
        <v>0.56666666666666665</v>
      </c>
    </row>
    <row r="171" spans="1:3" x14ac:dyDescent="0.3">
      <c r="A171" s="22">
        <v>77010000192</v>
      </c>
      <c r="B171" s="20">
        <f>SUMIFS('База данных'!E:E,'База данных'!A:A,Лист2!A171)</f>
        <v>13</v>
      </c>
      <c r="C171">
        <f t="shared" si="2"/>
        <v>0.21666666666666667</v>
      </c>
    </row>
    <row r="172" spans="1:3" x14ac:dyDescent="0.3">
      <c r="A172" s="22">
        <v>77010000224</v>
      </c>
      <c r="B172" s="20">
        <f>SUMIFS('База данных'!E:E,'База данных'!A:A,Лист2!A172)</f>
        <v>1</v>
      </c>
      <c r="C172">
        <f t="shared" si="2"/>
        <v>1.6666666666666666E-2</v>
      </c>
    </row>
    <row r="173" spans="1:3" x14ac:dyDescent="0.3">
      <c r="A173" s="22">
        <v>77010000227</v>
      </c>
      <c r="B173" s="20">
        <f>SUMIFS('База данных'!E:E,'База данных'!A:A,Лист2!A173)</f>
        <v>1</v>
      </c>
      <c r="C173">
        <f t="shared" si="2"/>
        <v>1.6666666666666666E-2</v>
      </c>
    </row>
    <row r="174" spans="1:3" x14ac:dyDescent="0.3">
      <c r="A174" s="22">
        <v>77010000209</v>
      </c>
      <c r="B174" s="20">
        <f>SUMIFS('База данных'!E:E,'База данных'!A:A,Лист2!A174)</f>
        <v>14</v>
      </c>
      <c r="C174">
        <f t="shared" si="2"/>
        <v>0.23333333333333334</v>
      </c>
    </row>
    <row r="175" spans="1:3" x14ac:dyDescent="0.3">
      <c r="A175" s="22">
        <v>77010000216</v>
      </c>
      <c r="B175" s="20">
        <f>SUMIFS('База данных'!E:E,'База данных'!A:A,Лист2!A175)</f>
        <v>1</v>
      </c>
      <c r="C175">
        <f t="shared" si="2"/>
        <v>1.6666666666666666E-2</v>
      </c>
    </row>
    <row r="176" spans="1:3" x14ac:dyDescent="0.3">
      <c r="A176" s="22">
        <v>77010000236</v>
      </c>
      <c r="B176" s="20">
        <f>SUMIFS('База данных'!E:E,'База данных'!A:A,Лист2!A176)</f>
        <v>31</v>
      </c>
      <c r="C176">
        <f t="shared" si="2"/>
        <v>0.51666666666666672</v>
      </c>
    </row>
    <row r="177" spans="1:3" x14ac:dyDescent="0.3">
      <c r="A177" s="22">
        <v>77010000235</v>
      </c>
      <c r="B177" s="20">
        <f>SUMIFS('База данных'!E:E,'База данных'!A:A,Лист2!A177)</f>
        <v>14</v>
      </c>
      <c r="C177">
        <f t="shared" si="2"/>
        <v>0.23333333333333334</v>
      </c>
    </row>
    <row r="178" spans="1:3" x14ac:dyDescent="0.3">
      <c r="A178" s="22">
        <v>77010000163</v>
      </c>
      <c r="B178" s="20">
        <f>SUMIFS('База данных'!E:E,'База данных'!A:A,Лист2!A178)</f>
        <v>8</v>
      </c>
      <c r="C178">
        <f t="shared" si="2"/>
        <v>0.13333333333333333</v>
      </c>
    </row>
    <row r="179" spans="1:3" x14ac:dyDescent="0.3">
      <c r="A179" s="22">
        <v>77010000177</v>
      </c>
      <c r="B179" s="20">
        <f>SUMIFS('База данных'!E:E,'База данных'!A:A,Лист2!A179)</f>
        <v>23</v>
      </c>
      <c r="C179">
        <f t="shared" si="2"/>
        <v>0.38333333333333336</v>
      </c>
    </row>
    <row r="180" spans="1:3" x14ac:dyDescent="0.3">
      <c r="A180" s="22">
        <v>77010000186</v>
      </c>
      <c r="B180" s="20">
        <f>SUMIFS('База данных'!E:E,'База данных'!A:A,Лист2!A180)</f>
        <v>33</v>
      </c>
      <c r="C180">
        <f t="shared" si="2"/>
        <v>0.55000000000000004</v>
      </c>
    </row>
    <row r="181" spans="1:3" x14ac:dyDescent="0.3">
      <c r="A181" s="22">
        <v>77010000189</v>
      </c>
      <c r="B181" s="20">
        <f>SUMIFS('База данных'!E:E,'База данных'!A:A,Лист2!A181)</f>
        <v>18</v>
      </c>
      <c r="C181">
        <f t="shared" si="2"/>
        <v>0.3</v>
      </c>
    </row>
    <row r="182" spans="1:3" x14ac:dyDescent="0.3">
      <c r="A182" s="22">
        <v>77010000237</v>
      </c>
      <c r="B182" s="20">
        <f>SUMIFS('База данных'!E:E,'База данных'!A:A,Лист2!A182)</f>
        <v>13</v>
      </c>
      <c r="C182">
        <f t="shared" si="2"/>
        <v>0.21666666666666667</v>
      </c>
    </row>
    <row r="183" spans="1:3" x14ac:dyDescent="0.3">
      <c r="A183" s="22">
        <v>77010000168</v>
      </c>
      <c r="B183" s="20">
        <f>SUMIFS('База данных'!E:E,'База данных'!A:A,Лист2!A183)</f>
        <v>3</v>
      </c>
      <c r="C183">
        <f t="shared" si="2"/>
        <v>0.05</v>
      </c>
    </row>
    <row r="184" spans="1:3" x14ac:dyDescent="0.3">
      <c r="A184" s="22">
        <v>77010000199</v>
      </c>
      <c r="B184" s="20">
        <f>SUMIFS('База данных'!E:E,'База данных'!A:A,Лист2!A184)</f>
        <v>3</v>
      </c>
      <c r="C184">
        <f t="shared" si="2"/>
        <v>0.05</v>
      </c>
    </row>
    <row r="185" spans="1:3" x14ac:dyDescent="0.3">
      <c r="A185" s="22">
        <v>77010000223</v>
      </c>
      <c r="B185" s="20">
        <f>SUMIFS('База данных'!E:E,'База данных'!A:A,Лист2!A185)</f>
        <v>3</v>
      </c>
      <c r="C185">
        <f t="shared" si="2"/>
        <v>0.05</v>
      </c>
    </row>
    <row r="186" spans="1:3" x14ac:dyDescent="0.3">
      <c r="A186" s="22">
        <v>77010000234</v>
      </c>
      <c r="B186" s="20">
        <f>SUMIFS('База данных'!E:E,'База данных'!A:A,Лист2!A186)</f>
        <v>33</v>
      </c>
      <c r="C186">
        <f t="shared" si="2"/>
        <v>0.55000000000000004</v>
      </c>
    </row>
    <row r="187" spans="1:3" x14ac:dyDescent="0.3">
      <c r="A187" s="22">
        <v>77010000164</v>
      </c>
      <c r="B187" s="20">
        <f>SUMIFS('База данных'!E:E,'База данных'!A:A,Лист2!A187)</f>
        <v>8</v>
      </c>
      <c r="C187">
        <f t="shared" si="2"/>
        <v>0.13333333333333333</v>
      </c>
    </row>
    <row r="188" spans="1:3" x14ac:dyDescent="0.3">
      <c r="A188" s="22">
        <v>77010000169</v>
      </c>
      <c r="B188" s="20">
        <f>SUMIFS('База данных'!E:E,'База данных'!A:A,Лист2!A188)</f>
        <v>16</v>
      </c>
      <c r="C188">
        <f t="shared" si="2"/>
        <v>0.26666666666666666</v>
      </c>
    </row>
    <row r="189" spans="1:3" x14ac:dyDescent="0.3">
      <c r="A189" s="22">
        <v>77010000172</v>
      </c>
      <c r="B189" s="20">
        <f>SUMIFS('База данных'!E:E,'База данных'!A:A,Лист2!A189)</f>
        <v>22</v>
      </c>
      <c r="C189">
        <f t="shared" si="2"/>
        <v>0.36666666666666664</v>
      </c>
    </row>
    <row r="190" spans="1:3" x14ac:dyDescent="0.3">
      <c r="A190" s="22">
        <v>77010000180</v>
      </c>
      <c r="B190" s="20">
        <f>SUMIFS('База данных'!E:E,'База данных'!A:A,Лист2!A190)</f>
        <v>30</v>
      </c>
      <c r="C190">
        <f t="shared" si="2"/>
        <v>0.5</v>
      </c>
    </row>
    <row r="191" spans="1:3" x14ac:dyDescent="0.3">
      <c r="A191" s="22">
        <v>77010000191</v>
      </c>
      <c r="B191" s="20">
        <f>SUMIFS('База данных'!E:E,'База данных'!A:A,Лист2!A191)</f>
        <v>29</v>
      </c>
      <c r="C191">
        <f t="shared" si="2"/>
        <v>0.48333333333333334</v>
      </c>
    </row>
    <row r="192" spans="1:3" x14ac:dyDescent="0.3">
      <c r="A192" s="22">
        <v>77010000196</v>
      </c>
      <c r="B192" s="20">
        <f>SUMIFS('База данных'!E:E,'База данных'!A:A,Лист2!A192)</f>
        <v>25</v>
      </c>
      <c r="C192">
        <f t="shared" si="2"/>
        <v>0.41666666666666669</v>
      </c>
    </row>
    <row r="193" spans="1:3" x14ac:dyDescent="0.3">
      <c r="A193" s="22">
        <v>77010000167</v>
      </c>
      <c r="B193" s="20">
        <f>SUMIFS('База данных'!E:E,'База данных'!A:A,Лист2!A193)</f>
        <v>5</v>
      </c>
      <c r="C193">
        <f t="shared" si="2"/>
        <v>8.3333333333333329E-2</v>
      </c>
    </row>
    <row r="194" spans="1:3" x14ac:dyDescent="0.3">
      <c r="A194" s="22">
        <v>77010000200</v>
      </c>
      <c r="B194" s="20">
        <f>SUMIFS('База данных'!E:E,'База данных'!A:A,Лист2!A194)</f>
        <v>5</v>
      </c>
      <c r="C194">
        <f t="shared" si="2"/>
        <v>8.3333333333333329E-2</v>
      </c>
    </row>
    <row r="195" spans="1:3" x14ac:dyDescent="0.3">
      <c r="A195" s="22">
        <v>77010000184</v>
      </c>
      <c r="B195" s="20">
        <f>SUMIFS('База данных'!E:E,'База данных'!A:A,Лист2!A195)</f>
        <v>26</v>
      </c>
      <c r="C195">
        <f t="shared" ref="C195:C258" si="3">B195/60</f>
        <v>0.43333333333333335</v>
      </c>
    </row>
    <row r="196" spans="1:3" x14ac:dyDescent="0.3">
      <c r="A196" s="22">
        <v>77010000212</v>
      </c>
      <c r="B196" s="20">
        <f>SUMIFS('База данных'!E:E,'База данных'!A:A,Лист2!A196)</f>
        <v>16</v>
      </c>
      <c r="C196">
        <f t="shared" si="3"/>
        <v>0.26666666666666666</v>
      </c>
    </row>
    <row r="197" spans="1:3" x14ac:dyDescent="0.3">
      <c r="A197" s="22">
        <v>77010000183</v>
      </c>
      <c r="B197" s="20">
        <f>SUMIFS('База данных'!E:E,'База данных'!A:A,Лист2!A197)</f>
        <v>31</v>
      </c>
      <c r="C197">
        <f t="shared" si="3"/>
        <v>0.51666666666666672</v>
      </c>
    </row>
    <row r="198" spans="1:3" x14ac:dyDescent="0.3">
      <c r="A198" s="22">
        <v>77010000190</v>
      </c>
      <c r="B198" s="20">
        <f>SUMIFS('База данных'!E:E,'База данных'!A:A,Лист2!A198)</f>
        <v>19</v>
      </c>
      <c r="C198">
        <f t="shared" si="3"/>
        <v>0.31666666666666665</v>
      </c>
    </row>
    <row r="199" spans="1:3" x14ac:dyDescent="0.3">
      <c r="A199" s="22">
        <v>77010000204</v>
      </c>
      <c r="B199" s="20">
        <f>SUMIFS('База данных'!E:E,'База данных'!A:A,Лист2!A199)</f>
        <v>36</v>
      </c>
      <c r="C199">
        <f t="shared" si="3"/>
        <v>0.6</v>
      </c>
    </row>
    <row r="200" spans="1:3" x14ac:dyDescent="0.3">
      <c r="A200" s="22">
        <v>77010000219</v>
      </c>
      <c r="B200" s="20">
        <f>SUMIFS('База данных'!E:E,'База данных'!A:A,Лист2!A200)</f>
        <v>6</v>
      </c>
      <c r="C200">
        <f t="shared" si="3"/>
        <v>0.1</v>
      </c>
    </row>
    <row r="201" spans="1:3" x14ac:dyDescent="0.3">
      <c r="A201" s="22">
        <v>77010000178</v>
      </c>
      <c r="B201" s="20">
        <f>SUMIFS('База данных'!E:E,'База данных'!A:A,Лист2!A201)</f>
        <v>32</v>
      </c>
      <c r="C201">
        <f t="shared" si="3"/>
        <v>0.53333333333333333</v>
      </c>
    </row>
    <row r="202" spans="1:3" x14ac:dyDescent="0.3">
      <c r="A202" s="22">
        <v>77010000188</v>
      </c>
      <c r="B202" s="20">
        <f>SUMIFS('База данных'!E:E,'База данных'!A:A,Лист2!A202)</f>
        <v>43</v>
      </c>
      <c r="C202">
        <f t="shared" si="3"/>
        <v>0.71666666666666667</v>
      </c>
    </row>
    <row r="203" spans="1:3" x14ac:dyDescent="0.3">
      <c r="A203" s="22">
        <v>77010000221</v>
      </c>
      <c r="B203" s="20">
        <f>SUMIFS('База данных'!E:E,'База данных'!A:A,Лист2!A203)</f>
        <v>7</v>
      </c>
      <c r="C203">
        <f t="shared" si="3"/>
        <v>0.11666666666666667</v>
      </c>
    </row>
    <row r="204" spans="1:3" x14ac:dyDescent="0.3">
      <c r="A204" s="22">
        <v>77010000176</v>
      </c>
      <c r="B204" s="20">
        <f>SUMIFS('База данных'!E:E,'База данных'!A:A,Лист2!A204)</f>
        <v>37</v>
      </c>
      <c r="C204">
        <f t="shared" si="3"/>
        <v>0.6166666666666667</v>
      </c>
    </row>
    <row r="205" spans="1:3" x14ac:dyDescent="0.3">
      <c r="A205" s="22">
        <v>77010000218</v>
      </c>
      <c r="B205" s="20">
        <f>SUMIFS('База данных'!E:E,'База данных'!A:A,Лист2!A205)</f>
        <v>8</v>
      </c>
      <c r="C205">
        <f t="shared" si="3"/>
        <v>0.13333333333333333</v>
      </c>
    </row>
    <row r="206" spans="1:3" x14ac:dyDescent="0.3">
      <c r="A206" s="22">
        <v>77010000220</v>
      </c>
      <c r="B206" s="20">
        <f>SUMIFS('База данных'!E:E,'База данных'!A:A,Лист2!A206)</f>
        <v>8</v>
      </c>
      <c r="C206">
        <f t="shared" si="3"/>
        <v>0.13333333333333333</v>
      </c>
    </row>
    <row r="207" spans="1:3" x14ac:dyDescent="0.3">
      <c r="A207" s="22">
        <v>77010000203</v>
      </c>
      <c r="B207" s="20">
        <f>SUMIFS('База данных'!E:E,'База данных'!A:A,Лист2!A207)</f>
        <v>28</v>
      </c>
      <c r="C207">
        <f t="shared" si="3"/>
        <v>0.46666666666666667</v>
      </c>
    </row>
    <row r="208" spans="1:3" x14ac:dyDescent="0.3">
      <c r="A208" s="22">
        <v>77010000210</v>
      </c>
      <c r="B208" s="20">
        <f>SUMIFS('База данных'!E:E,'База данных'!A:A,Лист2!A208)</f>
        <v>22</v>
      </c>
      <c r="C208">
        <f t="shared" si="3"/>
        <v>0.36666666666666664</v>
      </c>
    </row>
    <row r="209" spans="1:3" x14ac:dyDescent="0.3">
      <c r="A209" s="22">
        <v>77010000233</v>
      </c>
      <c r="B209" s="20">
        <f>SUMIFS('База данных'!E:E,'База данных'!A:A,Лист2!A209)</f>
        <v>9</v>
      </c>
      <c r="C209">
        <f t="shared" si="3"/>
        <v>0.15</v>
      </c>
    </row>
    <row r="210" spans="1:3" x14ac:dyDescent="0.3">
      <c r="A210" s="22">
        <v>77010000202</v>
      </c>
      <c r="B210" s="20">
        <f>SUMIFS('База данных'!E:E,'База данных'!A:A,Лист2!A210)</f>
        <v>25</v>
      </c>
      <c r="C210">
        <f t="shared" si="3"/>
        <v>0.41666666666666669</v>
      </c>
    </row>
    <row r="211" spans="1:3" x14ac:dyDescent="0.3">
      <c r="A211" s="22">
        <v>77010000231</v>
      </c>
      <c r="B211" s="20">
        <f>SUMIFS('База данных'!E:E,'База данных'!A:A,Лист2!A211)</f>
        <v>10</v>
      </c>
      <c r="C211">
        <f t="shared" si="3"/>
        <v>0.16666666666666666</v>
      </c>
    </row>
    <row r="212" spans="1:3" x14ac:dyDescent="0.3">
      <c r="A212" s="22">
        <v>77010000197</v>
      </c>
      <c r="B212" s="20">
        <f>SUMIFS('База данных'!E:E,'База данных'!A:A,Лист2!A212)</f>
        <v>11</v>
      </c>
      <c r="C212">
        <f t="shared" si="3"/>
        <v>0.18333333333333332</v>
      </c>
    </row>
    <row r="213" spans="1:3" x14ac:dyDescent="0.3">
      <c r="A213" s="22">
        <v>77010000207</v>
      </c>
      <c r="B213" s="20">
        <f>SUMIFS('База данных'!E:E,'База данных'!A:A,Лист2!A213)</f>
        <v>37</v>
      </c>
      <c r="C213">
        <f t="shared" si="3"/>
        <v>0.6166666666666667</v>
      </c>
    </row>
    <row r="214" spans="1:3" x14ac:dyDescent="0.3">
      <c r="A214" s="22">
        <v>77010000179</v>
      </c>
      <c r="B214" s="20">
        <f>SUMIFS('База данных'!E:E,'База данных'!A:A,Лист2!A214)</f>
        <v>46</v>
      </c>
      <c r="C214">
        <f t="shared" si="3"/>
        <v>0.76666666666666672</v>
      </c>
    </row>
    <row r="215" spans="1:3" x14ac:dyDescent="0.3">
      <c r="A215" s="22">
        <v>77010000194</v>
      </c>
      <c r="B215" s="20">
        <f>SUMIFS('База данных'!E:E,'База данных'!A:A,Лист2!A215)</f>
        <v>45</v>
      </c>
      <c r="C215">
        <f t="shared" si="3"/>
        <v>0.75</v>
      </c>
    </row>
    <row r="216" spans="1:3" x14ac:dyDescent="0.3">
      <c r="A216" s="22">
        <v>77010000206</v>
      </c>
      <c r="B216" s="20">
        <f>SUMIFS('База данных'!E:E,'База данных'!A:A,Лист2!A216)</f>
        <v>29</v>
      </c>
      <c r="C216">
        <f t="shared" si="3"/>
        <v>0.48333333333333334</v>
      </c>
    </row>
    <row r="217" spans="1:3" x14ac:dyDescent="0.3">
      <c r="A217" s="22">
        <v>77010000228</v>
      </c>
      <c r="B217" s="20">
        <f>SUMIFS('База данных'!E:E,'База данных'!A:A,Лист2!A217)</f>
        <v>25</v>
      </c>
      <c r="C217">
        <f t="shared" si="3"/>
        <v>0.41666666666666669</v>
      </c>
    </row>
    <row r="218" spans="1:3" x14ac:dyDescent="0.3">
      <c r="A218" s="22">
        <v>77010000201</v>
      </c>
      <c r="B218" s="20">
        <f>SUMIFS('База данных'!E:E,'База данных'!A:A,Лист2!A218)</f>
        <v>13</v>
      </c>
      <c r="C218">
        <f t="shared" si="3"/>
        <v>0.21666666666666667</v>
      </c>
    </row>
    <row r="219" spans="1:3" x14ac:dyDescent="0.3">
      <c r="A219" s="22">
        <v>77010000208</v>
      </c>
      <c r="B219" s="20">
        <f>SUMIFS('База данных'!E:E,'База данных'!A:A,Лист2!A219)</f>
        <v>33</v>
      </c>
      <c r="C219">
        <f t="shared" si="3"/>
        <v>0.55000000000000004</v>
      </c>
    </row>
    <row r="220" spans="1:3" x14ac:dyDescent="0.3">
      <c r="A220" s="22">
        <v>77010000226</v>
      </c>
      <c r="B220" s="20">
        <f>SUMIFS('База данных'!E:E,'База данных'!A:A,Лист2!A220)</f>
        <v>13</v>
      </c>
      <c r="C220">
        <f t="shared" si="3"/>
        <v>0.21666666666666667</v>
      </c>
    </row>
    <row r="221" spans="1:3" x14ac:dyDescent="0.3">
      <c r="A221" s="22">
        <v>77010000213</v>
      </c>
      <c r="B221" s="20">
        <f>SUMIFS('База данных'!E:E,'База данных'!A:A,Лист2!A221)</f>
        <v>31</v>
      </c>
      <c r="C221">
        <f t="shared" si="3"/>
        <v>0.51666666666666672</v>
      </c>
    </row>
    <row r="222" spans="1:3" x14ac:dyDescent="0.3">
      <c r="A222" s="22">
        <v>77010000230</v>
      </c>
      <c r="B222" s="20">
        <f>SUMIFS('База данных'!E:E,'База данных'!A:A,Лист2!A222)</f>
        <v>18</v>
      </c>
      <c r="C222">
        <f t="shared" si="3"/>
        <v>0.3</v>
      </c>
    </row>
    <row r="223" spans="1:3" x14ac:dyDescent="0.3">
      <c r="A223" s="22">
        <v>77010000217</v>
      </c>
      <c r="B223" s="20">
        <f>SUMIFS('База данных'!E:E,'База данных'!A:A,Лист2!A223)</f>
        <v>18</v>
      </c>
      <c r="C223">
        <f t="shared" si="3"/>
        <v>0.3</v>
      </c>
    </row>
    <row r="224" spans="1:3" x14ac:dyDescent="0.3">
      <c r="A224" s="22">
        <v>77010000232</v>
      </c>
      <c r="B224" s="20">
        <f>SUMIFS('База данных'!E:E,'База данных'!A:A,Лист2!A224)</f>
        <v>19</v>
      </c>
      <c r="C224">
        <f t="shared" si="3"/>
        <v>0.31666666666666665</v>
      </c>
    </row>
    <row r="225" spans="1:3" x14ac:dyDescent="0.3">
      <c r="A225" s="22">
        <v>77010000211</v>
      </c>
      <c r="B225" s="20">
        <f>SUMIFS('База данных'!E:E,'База данных'!A:A,Лист2!A225)</f>
        <v>53</v>
      </c>
      <c r="C225">
        <f t="shared" si="3"/>
        <v>0.8833333333333333</v>
      </c>
    </row>
    <row r="226" spans="1:3" x14ac:dyDescent="0.3">
      <c r="A226" s="22">
        <v>77010000229</v>
      </c>
      <c r="B226" s="20">
        <f>SUMIFS('База данных'!E:E,'База данных'!A:A,Лист2!A226)</f>
        <v>23</v>
      </c>
      <c r="C226">
        <f t="shared" si="3"/>
        <v>0.38333333333333336</v>
      </c>
    </row>
    <row r="227" spans="1:3" x14ac:dyDescent="0.3">
      <c r="A227" s="22">
        <v>77010000222</v>
      </c>
      <c r="B227" s="20">
        <f>SUMIFS('База данных'!E:E,'База данных'!A:A,Лист2!A227)</f>
        <v>26</v>
      </c>
      <c r="C227">
        <f t="shared" si="3"/>
        <v>0.43333333333333335</v>
      </c>
    </row>
    <row r="228" spans="1:3" x14ac:dyDescent="0.3">
      <c r="A228" s="22">
        <v>77010000225</v>
      </c>
      <c r="B228" s="20">
        <f>SUMIFS('База данных'!E:E,'База данных'!A:A,Лист2!A228)</f>
        <v>26</v>
      </c>
      <c r="C228">
        <f t="shared" si="3"/>
        <v>0.43333333333333335</v>
      </c>
    </row>
    <row r="229" spans="1:3" x14ac:dyDescent="0.3">
      <c r="A229" s="22">
        <v>77010000214</v>
      </c>
      <c r="B229" s="20">
        <f>SUMIFS('База данных'!E:E,'База данных'!A:A,Лист2!A229)</f>
        <v>28</v>
      </c>
      <c r="C229">
        <f t="shared" si="3"/>
        <v>0.46666666666666667</v>
      </c>
    </row>
    <row r="230" spans="1:3" x14ac:dyDescent="0.3">
      <c r="A230" s="22">
        <v>77010000215</v>
      </c>
      <c r="B230" s="20">
        <f>SUMIFS('База данных'!E:E,'База данных'!A:A,Лист2!A230)</f>
        <v>33</v>
      </c>
      <c r="C230">
        <f t="shared" si="3"/>
        <v>0.55000000000000004</v>
      </c>
    </row>
    <row r="231" spans="1:3" x14ac:dyDescent="0.3">
      <c r="A231" s="22">
        <v>77010000262</v>
      </c>
      <c r="B231" s="20">
        <f>SUMIFS('База данных'!E:E,'База данных'!A:A,Лист2!A231)</f>
        <v>0</v>
      </c>
      <c r="C231">
        <f t="shared" si="3"/>
        <v>0</v>
      </c>
    </row>
    <row r="232" spans="1:3" x14ac:dyDescent="0.3">
      <c r="A232" s="22">
        <v>77010000240</v>
      </c>
      <c r="B232" s="20">
        <f>SUMIFS('База данных'!E:E,'База данных'!A:A,Лист2!A232)</f>
        <v>1</v>
      </c>
      <c r="C232">
        <f t="shared" si="3"/>
        <v>1.6666666666666666E-2</v>
      </c>
    </row>
    <row r="233" spans="1:3" x14ac:dyDescent="0.3">
      <c r="A233" s="22">
        <v>77010000244</v>
      </c>
      <c r="B233" s="20">
        <f>SUMIFS('База данных'!E:E,'База данных'!A:A,Лист2!A233)</f>
        <v>2</v>
      </c>
      <c r="C233">
        <f t="shared" si="3"/>
        <v>3.3333333333333333E-2</v>
      </c>
    </row>
    <row r="234" spans="1:3" x14ac:dyDescent="0.3">
      <c r="A234" s="22">
        <v>77010000245</v>
      </c>
      <c r="B234" s="20">
        <f>SUMIFS('База данных'!E:E,'База данных'!A:A,Лист2!A234)</f>
        <v>22</v>
      </c>
      <c r="C234">
        <f t="shared" si="3"/>
        <v>0.36666666666666664</v>
      </c>
    </row>
    <row r="235" spans="1:3" x14ac:dyDescent="0.3">
      <c r="A235" s="22">
        <v>77010000247</v>
      </c>
      <c r="B235" s="20">
        <f>SUMIFS('База данных'!E:E,'База данных'!A:A,Лист2!A235)</f>
        <v>23</v>
      </c>
      <c r="C235">
        <f t="shared" si="3"/>
        <v>0.38333333333333336</v>
      </c>
    </row>
    <row r="236" spans="1:3" x14ac:dyDescent="0.3">
      <c r="A236" s="22">
        <v>77010000252</v>
      </c>
      <c r="B236" s="20">
        <f>SUMIFS('База данных'!E:E,'База данных'!A:A,Лист2!A236)</f>
        <v>1</v>
      </c>
      <c r="C236">
        <f t="shared" si="3"/>
        <v>1.6666666666666666E-2</v>
      </c>
    </row>
    <row r="237" spans="1:3" x14ac:dyDescent="0.3">
      <c r="A237" s="22">
        <v>77010000269</v>
      </c>
      <c r="B237" s="20">
        <f>SUMIFS('База данных'!E:E,'База данных'!A:A,Лист2!A237)</f>
        <v>22</v>
      </c>
      <c r="C237">
        <f t="shared" si="3"/>
        <v>0.36666666666666664</v>
      </c>
    </row>
    <row r="238" spans="1:3" x14ac:dyDescent="0.3">
      <c r="A238" s="22">
        <v>77010000273</v>
      </c>
      <c r="B238" s="20">
        <f>SUMIFS('База данных'!E:E,'База данных'!A:A,Лист2!A238)</f>
        <v>3</v>
      </c>
      <c r="C238">
        <f t="shared" si="3"/>
        <v>0.05</v>
      </c>
    </row>
    <row r="239" spans="1:3" x14ac:dyDescent="0.3">
      <c r="A239" s="22">
        <v>77010000287</v>
      </c>
      <c r="B239" s="20">
        <f>SUMIFS('База данных'!E:E,'База данных'!A:A,Лист2!A239)</f>
        <v>10</v>
      </c>
      <c r="C239">
        <f t="shared" si="3"/>
        <v>0.16666666666666666</v>
      </c>
    </row>
    <row r="240" spans="1:3" x14ac:dyDescent="0.3">
      <c r="A240" s="22">
        <v>77010000288</v>
      </c>
      <c r="B240" s="20">
        <f>SUMIFS('База данных'!E:E,'База данных'!A:A,Лист2!A240)</f>
        <v>5</v>
      </c>
      <c r="C240">
        <f t="shared" si="3"/>
        <v>8.3333333333333329E-2</v>
      </c>
    </row>
    <row r="241" spans="1:3" x14ac:dyDescent="0.3">
      <c r="A241" s="22">
        <v>77010000291</v>
      </c>
      <c r="B241" s="20">
        <f>SUMIFS('База данных'!E:E,'База данных'!A:A,Лист2!A241)</f>
        <v>36</v>
      </c>
      <c r="C241">
        <f t="shared" si="3"/>
        <v>0.6</v>
      </c>
    </row>
    <row r="242" spans="1:3" x14ac:dyDescent="0.3">
      <c r="A242" s="22">
        <v>77010000293</v>
      </c>
      <c r="B242" s="20">
        <f>SUMIFS('База данных'!E:E,'База данных'!A:A,Лист2!A242)</f>
        <v>8</v>
      </c>
      <c r="C242">
        <f t="shared" si="3"/>
        <v>0.13333333333333333</v>
      </c>
    </row>
    <row r="243" spans="1:3" x14ac:dyDescent="0.3">
      <c r="A243" s="22">
        <v>77010000310</v>
      </c>
      <c r="B243" s="20">
        <f>SUMIFS('База данных'!E:E,'База данных'!A:A,Лист2!A243)</f>
        <v>11</v>
      </c>
      <c r="C243">
        <f t="shared" si="3"/>
        <v>0.18333333333333332</v>
      </c>
    </row>
    <row r="244" spans="1:3" x14ac:dyDescent="0.3">
      <c r="A244" s="22">
        <v>77010000271</v>
      </c>
      <c r="B244" s="20">
        <f>SUMIFS('База данных'!E:E,'База данных'!A:A,Лист2!A244)</f>
        <v>5</v>
      </c>
      <c r="C244">
        <f t="shared" si="3"/>
        <v>8.3333333333333329E-2</v>
      </c>
    </row>
    <row r="245" spans="1:3" x14ac:dyDescent="0.3">
      <c r="A245" s="22">
        <v>77010000239</v>
      </c>
      <c r="B245" s="20">
        <f>SUMIFS('База данных'!E:E,'База данных'!A:A,Лист2!A245)</f>
        <v>2</v>
      </c>
      <c r="C245">
        <f t="shared" si="3"/>
        <v>3.3333333333333333E-2</v>
      </c>
    </row>
    <row r="246" spans="1:3" x14ac:dyDescent="0.3">
      <c r="A246" s="22">
        <v>77010000243</v>
      </c>
      <c r="B246" s="20">
        <f>SUMIFS('База данных'!E:E,'База данных'!A:A,Лист2!A246)</f>
        <v>9</v>
      </c>
      <c r="C246">
        <f t="shared" si="3"/>
        <v>0.15</v>
      </c>
    </row>
    <row r="247" spans="1:3" x14ac:dyDescent="0.3">
      <c r="A247" s="22">
        <v>77010000251</v>
      </c>
      <c r="B247" s="20">
        <f>SUMIFS('База данных'!E:E,'База данных'!A:A,Лист2!A247)</f>
        <v>2</v>
      </c>
      <c r="C247">
        <f t="shared" si="3"/>
        <v>3.3333333333333333E-2</v>
      </c>
    </row>
    <row r="248" spans="1:3" x14ac:dyDescent="0.3">
      <c r="A248" s="22">
        <v>77010000306</v>
      </c>
      <c r="B248" s="20">
        <f>SUMIFS('База данных'!E:E,'База данных'!A:A,Лист2!A248)</f>
        <v>11</v>
      </c>
      <c r="C248">
        <f t="shared" si="3"/>
        <v>0.18333333333333332</v>
      </c>
    </row>
    <row r="249" spans="1:3" x14ac:dyDescent="0.3">
      <c r="A249" s="22">
        <v>77010000279</v>
      </c>
      <c r="B249" s="20">
        <f>SUMIFS('База данных'!E:E,'База данных'!A:A,Лист2!A249)</f>
        <v>13</v>
      </c>
      <c r="C249">
        <f t="shared" si="3"/>
        <v>0.21666666666666667</v>
      </c>
    </row>
    <row r="250" spans="1:3" x14ac:dyDescent="0.3">
      <c r="A250" s="22">
        <v>77010000281</v>
      </c>
      <c r="B250" s="20">
        <f>SUMIFS('База данных'!E:E,'База данных'!A:A,Лист2!A250)</f>
        <v>5</v>
      </c>
      <c r="C250">
        <f t="shared" si="3"/>
        <v>8.3333333333333329E-2</v>
      </c>
    </row>
    <row r="251" spans="1:3" x14ac:dyDescent="0.3">
      <c r="A251" s="22">
        <v>77010000238</v>
      </c>
      <c r="B251" s="20">
        <f>SUMIFS('База данных'!E:E,'База данных'!A:A,Лист2!A251)</f>
        <v>3</v>
      </c>
      <c r="C251">
        <f t="shared" si="3"/>
        <v>0.05</v>
      </c>
    </row>
    <row r="252" spans="1:3" x14ac:dyDescent="0.3">
      <c r="A252" s="22">
        <v>77010000246</v>
      </c>
      <c r="B252" s="20">
        <f>SUMIFS('База данных'!E:E,'База данных'!A:A,Лист2!A252)</f>
        <v>49</v>
      </c>
      <c r="C252">
        <f t="shared" si="3"/>
        <v>0.81666666666666665</v>
      </c>
    </row>
    <row r="253" spans="1:3" x14ac:dyDescent="0.3">
      <c r="A253" s="22">
        <v>77010000248</v>
      </c>
      <c r="B253" s="20">
        <f>SUMIFS('База данных'!E:E,'База данных'!A:A,Лист2!A253)</f>
        <v>8</v>
      </c>
      <c r="C253">
        <f t="shared" si="3"/>
        <v>0.13333333333333333</v>
      </c>
    </row>
    <row r="254" spans="1:3" x14ac:dyDescent="0.3">
      <c r="A254" s="22">
        <v>77010000270</v>
      </c>
      <c r="B254" s="20">
        <f>SUMIFS('База данных'!E:E,'База данных'!A:A,Лист2!A254)</f>
        <v>8</v>
      </c>
      <c r="C254">
        <f t="shared" si="3"/>
        <v>0.13333333333333333</v>
      </c>
    </row>
    <row r="255" spans="1:3" x14ac:dyDescent="0.3">
      <c r="A255" s="22">
        <v>77010000294</v>
      </c>
      <c r="B255" s="20">
        <f>SUMIFS('База данных'!E:E,'База данных'!A:A,Лист2!A255)</f>
        <v>4</v>
      </c>
      <c r="C255">
        <f t="shared" si="3"/>
        <v>6.6666666666666666E-2</v>
      </c>
    </row>
    <row r="256" spans="1:3" x14ac:dyDescent="0.3">
      <c r="A256" s="22">
        <v>77010000290</v>
      </c>
      <c r="B256" s="20">
        <f>SUMIFS('База данных'!E:E,'База данных'!A:A,Лист2!A256)</f>
        <v>10</v>
      </c>
      <c r="C256">
        <f t="shared" si="3"/>
        <v>0.16666666666666666</v>
      </c>
    </row>
    <row r="257" spans="1:3" x14ac:dyDescent="0.3">
      <c r="A257" s="22">
        <v>77010000258</v>
      </c>
      <c r="B257" s="20">
        <f>SUMIFS('База данных'!E:E,'База данных'!A:A,Лист2!A257)</f>
        <v>29</v>
      </c>
      <c r="C257">
        <f t="shared" si="3"/>
        <v>0.48333333333333334</v>
      </c>
    </row>
    <row r="258" spans="1:3" x14ac:dyDescent="0.3">
      <c r="A258" s="22">
        <v>77010000285</v>
      </c>
      <c r="B258" s="20">
        <f>SUMIFS('База данных'!E:E,'База данных'!A:A,Лист2!A258)</f>
        <v>5</v>
      </c>
      <c r="C258">
        <f t="shared" si="3"/>
        <v>8.3333333333333329E-2</v>
      </c>
    </row>
    <row r="259" spans="1:3" x14ac:dyDescent="0.3">
      <c r="A259" s="22">
        <v>77010000295</v>
      </c>
      <c r="B259" s="20">
        <f>SUMIFS('База данных'!E:E,'База данных'!A:A,Лист2!A259)</f>
        <v>5</v>
      </c>
      <c r="C259">
        <f t="shared" ref="C259:C293" si="4">B259/60</f>
        <v>8.3333333333333329E-2</v>
      </c>
    </row>
    <row r="260" spans="1:3" x14ac:dyDescent="0.3">
      <c r="A260" s="22">
        <v>77010000312</v>
      </c>
      <c r="B260" s="20">
        <f>SUMIFS('База данных'!E:E,'База данных'!A:A,Лист2!A260)</f>
        <v>5</v>
      </c>
      <c r="C260">
        <f t="shared" si="4"/>
        <v>8.3333333333333329E-2</v>
      </c>
    </row>
    <row r="261" spans="1:3" x14ac:dyDescent="0.3">
      <c r="A261" s="22">
        <v>77010000241</v>
      </c>
      <c r="B261" s="20">
        <f>SUMIFS('База данных'!E:E,'База данных'!A:A,Лист2!A261)</f>
        <v>6</v>
      </c>
      <c r="C261">
        <f t="shared" si="4"/>
        <v>0.1</v>
      </c>
    </row>
    <row r="262" spans="1:3" x14ac:dyDescent="0.3">
      <c r="A262" s="22">
        <v>77010000242</v>
      </c>
      <c r="B262" s="20">
        <f>SUMIFS('База данных'!E:E,'База данных'!A:A,Лист2!A262)</f>
        <v>6</v>
      </c>
      <c r="C262">
        <f t="shared" si="4"/>
        <v>0.1</v>
      </c>
    </row>
    <row r="263" spans="1:3" x14ac:dyDescent="0.3">
      <c r="A263" s="22">
        <v>77010000249</v>
      </c>
      <c r="B263" s="20">
        <f>SUMIFS('База данных'!E:E,'База данных'!A:A,Лист2!A263)</f>
        <v>19</v>
      </c>
      <c r="C263">
        <f t="shared" si="4"/>
        <v>0.31666666666666665</v>
      </c>
    </row>
    <row r="264" spans="1:3" x14ac:dyDescent="0.3">
      <c r="A264" s="22">
        <v>77010000257</v>
      </c>
      <c r="B264" s="20">
        <f>SUMIFS('База данных'!E:E,'База данных'!A:A,Лист2!A264)</f>
        <v>20</v>
      </c>
      <c r="C264">
        <f t="shared" si="4"/>
        <v>0.33333333333333331</v>
      </c>
    </row>
    <row r="265" spans="1:3" x14ac:dyDescent="0.3">
      <c r="A265" s="22">
        <v>77010000289</v>
      </c>
      <c r="B265" s="20">
        <f>SUMIFS('База данных'!E:E,'База данных'!A:A,Лист2!A265)</f>
        <v>6</v>
      </c>
      <c r="C265">
        <f t="shared" si="4"/>
        <v>0.1</v>
      </c>
    </row>
    <row r="266" spans="1:3" x14ac:dyDescent="0.3">
      <c r="A266" s="22">
        <v>77010000250</v>
      </c>
      <c r="B266" s="20">
        <f>SUMIFS('База данных'!E:E,'База данных'!A:A,Лист2!A266)</f>
        <v>7</v>
      </c>
      <c r="C266">
        <f t="shared" si="4"/>
        <v>0.11666666666666667</v>
      </c>
    </row>
    <row r="267" spans="1:3" x14ac:dyDescent="0.3">
      <c r="A267" s="22">
        <v>77010000292</v>
      </c>
      <c r="B267" s="20">
        <f>SUMIFS('База данных'!E:E,'База данных'!A:A,Лист2!A267)</f>
        <v>36</v>
      </c>
      <c r="C267">
        <f t="shared" si="4"/>
        <v>0.6</v>
      </c>
    </row>
    <row r="268" spans="1:3" x14ac:dyDescent="0.3">
      <c r="A268" s="22">
        <v>77010000254</v>
      </c>
      <c r="B268" s="20">
        <f>SUMIFS('База данных'!E:E,'База данных'!A:A,Лист2!A268)</f>
        <v>21</v>
      </c>
      <c r="C268">
        <f t="shared" si="4"/>
        <v>0.35</v>
      </c>
    </row>
    <row r="269" spans="1:3" x14ac:dyDescent="0.3">
      <c r="A269" s="22">
        <v>77010000260</v>
      </c>
      <c r="B269" s="20">
        <f>SUMIFS('База данных'!E:E,'База данных'!A:A,Лист2!A269)</f>
        <v>24</v>
      </c>
      <c r="C269">
        <f t="shared" si="4"/>
        <v>0.4</v>
      </c>
    </row>
    <row r="270" spans="1:3" x14ac:dyDescent="0.3">
      <c r="A270" s="22">
        <v>77010000261</v>
      </c>
      <c r="B270" s="20">
        <f>SUMIFS('База данных'!E:E,'База данных'!A:A,Лист2!A270)</f>
        <v>8</v>
      </c>
      <c r="C270">
        <f t="shared" si="4"/>
        <v>0.13333333333333333</v>
      </c>
    </row>
    <row r="271" spans="1:3" x14ac:dyDescent="0.3">
      <c r="A271" s="22">
        <v>77010000282</v>
      </c>
      <c r="B271" s="20">
        <f>SUMIFS('База данных'!E:E,'База данных'!A:A,Лист2!A271)</f>
        <v>8</v>
      </c>
      <c r="C271">
        <f t="shared" si="4"/>
        <v>0.13333333333333333</v>
      </c>
    </row>
    <row r="272" spans="1:3" x14ac:dyDescent="0.3">
      <c r="A272" s="22">
        <v>77010000255</v>
      </c>
      <c r="B272" s="20">
        <f>SUMIFS('База данных'!E:E,'База данных'!A:A,Лист2!A272)</f>
        <v>23</v>
      </c>
      <c r="C272">
        <f t="shared" si="4"/>
        <v>0.38333333333333336</v>
      </c>
    </row>
    <row r="273" spans="1:3" x14ac:dyDescent="0.3">
      <c r="A273" s="22">
        <v>77010000307</v>
      </c>
      <c r="B273" s="20">
        <f>SUMIFS('База данных'!E:E,'База данных'!A:A,Лист2!A273)</f>
        <v>26</v>
      </c>
      <c r="C273">
        <f t="shared" si="4"/>
        <v>0.43333333333333335</v>
      </c>
    </row>
    <row r="274" spans="1:3" x14ac:dyDescent="0.3">
      <c r="A274" s="22">
        <v>77010000274</v>
      </c>
      <c r="B274" s="20">
        <f>SUMIFS('База данных'!E:E,'База данных'!A:A,Лист2!A274)</f>
        <v>25</v>
      </c>
      <c r="C274">
        <f t="shared" si="4"/>
        <v>0.41666666666666669</v>
      </c>
    </row>
    <row r="275" spans="1:3" x14ac:dyDescent="0.3">
      <c r="A275" s="22">
        <v>77010000256</v>
      </c>
      <c r="B275" s="20">
        <f>SUMIFS('База данных'!E:E,'База данных'!A:A,Лист2!A275)</f>
        <v>23</v>
      </c>
      <c r="C275">
        <f t="shared" si="4"/>
        <v>0.38333333333333336</v>
      </c>
    </row>
    <row r="276" spans="1:3" x14ac:dyDescent="0.3">
      <c r="A276" s="22">
        <v>77010000308</v>
      </c>
      <c r="B276" s="20">
        <f>SUMIFS('База данных'!E:E,'База данных'!A:A,Лист2!A276)</f>
        <v>22</v>
      </c>
      <c r="C276">
        <f t="shared" si="4"/>
        <v>0.36666666666666664</v>
      </c>
    </row>
    <row r="277" spans="1:3" x14ac:dyDescent="0.3">
      <c r="A277" s="22">
        <v>77010000275</v>
      </c>
      <c r="B277" s="20">
        <f>SUMIFS('База данных'!E:E,'База данных'!A:A,Лист2!A277)</f>
        <v>22</v>
      </c>
      <c r="C277">
        <f t="shared" si="4"/>
        <v>0.36666666666666664</v>
      </c>
    </row>
    <row r="278" spans="1:3" x14ac:dyDescent="0.3">
      <c r="A278" s="22">
        <v>77010000311</v>
      </c>
      <c r="B278" s="20">
        <f>SUMIFS('База данных'!E:E,'База данных'!A:A,Лист2!A278)</f>
        <v>22</v>
      </c>
      <c r="C278">
        <f t="shared" si="4"/>
        <v>0.36666666666666664</v>
      </c>
    </row>
    <row r="279" spans="1:3" x14ac:dyDescent="0.3">
      <c r="A279" s="22">
        <v>77010000259</v>
      </c>
      <c r="B279" s="20">
        <f>SUMIFS('База данных'!E:E,'База данных'!A:A,Лист2!A279)</f>
        <v>22</v>
      </c>
      <c r="C279">
        <f t="shared" si="4"/>
        <v>0.36666666666666664</v>
      </c>
    </row>
    <row r="280" spans="1:3" x14ac:dyDescent="0.3">
      <c r="A280" s="22">
        <v>77010000272</v>
      </c>
      <c r="B280" s="20">
        <f>SUMIFS('База данных'!E:E,'База данных'!A:A,Лист2!A280)</f>
        <v>42</v>
      </c>
      <c r="C280">
        <f t="shared" si="4"/>
        <v>0.7</v>
      </c>
    </row>
    <row r="281" spans="1:3" x14ac:dyDescent="0.3">
      <c r="A281" s="22">
        <v>77010000268</v>
      </c>
      <c r="B281" s="20">
        <f>SUMIFS('База данных'!E:E,'База данных'!A:A,Лист2!A281)</f>
        <v>11</v>
      </c>
      <c r="C281">
        <f t="shared" si="4"/>
        <v>0.18333333333333332</v>
      </c>
    </row>
    <row r="282" spans="1:3" x14ac:dyDescent="0.3">
      <c r="A282" s="22">
        <v>77010000309</v>
      </c>
      <c r="B282" s="20">
        <f>SUMIFS('База данных'!E:E,'База данных'!A:A,Лист2!A282)</f>
        <v>11</v>
      </c>
      <c r="C282">
        <f t="shared" si="4"/>
        <v>0.18333333333333332</v>
      </c>
    </row>
    <row r="283" spans="1:3" x14ac:dyDescent="0.3">
      <c r="A283" s="22">
        <v>77010000253</v>
      </c>
      <c r="B283" s="20">
        <f>SUMIFS('База данных'!E:E,'База данных'!A:A,Лист2!A283)</f>
        <v>12</v>
      </c>
      <c r="C283">
        <f t="shared" si="4"/>
        <v>0.2</v>
      </c>
    </row>
    <row r="284" spans="1:3" x14ac:dyDescent="0.3">
      <c r="A284" s="22">
        <v>77010000276</v>
      </c>
      <c r="B284" s="20">
        <f>SUMIFS('База данных'!E:E,'База данных'!A:A,Лист2!A284)</f>
        <v>12</v>
      </c>
      <c r="C284">
        <f t="shared" si="4"/>
        <v>0.2</v>
      </c>
    </row>
    <row r="285" spans="1:3" x14ac:dyDescent="0.3">
      <c r="A285" s="22">
        <v>77010000280</v>
      </c>
      <c r="B285" s="20">
        <f>SUMIFS('База данных'!E:E,'База данных'!A:A,Лист2!A285)</f>
        <v>26</v>
      </c>
      <c r="C285">
        <f t="shared" si="4"/>
        <v>0.43333333333333335</v>
      </c>
    </row>
    <row r="286" spans="1:3" x14ac:dyDescent="0.3">
      <c r="A286" s="22">
        <v>77010000296</v>
      </c>
      <c r="B286" s="20">
        <f>SUMIFS('База данных'!E:E,'База данных'!A:A,Лист2!A286)</f>
        <v>12</v>
      </c>
      <c r="C286">
        <f t="shared" si="4"/>
        <v>0.2</v>
      </c>
    </row>
    <row r="287" spans="1:3" x14ac:dyDescent="0.3">
      <c r="A287" s="22">
        <v>77010000278</v>
      </c>
      <c r="B287" s="20">
        <f>SUMIFS('База данных'!E:E,'База данных'!A:A,Лист2!A287)</f>
        <v>35</v>
      </c>
      <c r="C287">
        <f t="shared" si="4"/>
        <v>0.58333333333333337</v>
      </c>
    </row>
    <row r="288" spans="1:3" x14ac:dyDescent="0.3">
      <c r="A288" s="22">
        <v>77010000277</v>
      </c>
      <c r="B288" s="20">
        <f>SUMIFS('База данных'!E:E,'База данных'!A:A,Лист2!A288)</f>
        <v>14</v>
      </c>
      <c r="C288">
        <f t="shared" si="4"/>
        <v>0.23333333333333334</v>
      </c>
    </row>
    <row r="289" spans="1:4" x14ac:dyDescent="0.3">
      <c r="A289" s="22">
        <v>77010000286</v>
      </c>
      <c r="B289" s="20">
        <f>SUMIFS('База данных'!E:E,'База данных'!A:A,Лист2!A289)</f>
        <v>14</v>
      </c>
      <c r="C289">
        <f t="shared" si="4"/>
        <v>0.23333333333333334</v>
      </c>
    </row>
    <row r="290" spans="1:4" x14ac:dyDescent="0.3">
      <c r="A290" s="22">
        <v>77010000284</v>
      </c>
      <c r="B290" s="20">
        <f>SUMIFS('База данных'!E:E,'База данных'!A:A,Лист2!A290)</f>
        <v>15</v>
      </c>
      <c r="C290">
        <f t="shared" si="4"/>
        <v>0.25</v>
      </c>
    </row>
    <row r="291" spans="1:4" x14ac:dyDescent="0.3">
      <c r="A291" s="22">
        <v>77010000297</v>
      </c>
      <c r="B291" s="20">
        <f>SUMIFS('База данных'!E:E,'База данных'!A:A,Лист2!A291)</f>
        <v>15</v>
      </c>
      <c r="C291">
        <f t="shared" si="4"/>
        <v>0.25</v>
      </c>
    </row>
    <row r="292" spans="1:4" x14ac:dyDescent="0.3">
      <c r="A292" s="22">
        <v>77010000313</v>
      </c>
      <c r="B292" s="20">
        <f>SUMIFS('База данных'!E:E,'База данных'!A:A,Лист2!A292)</f>
        <v>16</v>
      </c>
      <c r="C292">
        <f t="shared" si="4"/>
        <v>0.26666666666666666</v>
      </c>
    </row>
    <row r="293" spans="1:4" x14ac:dyDescent="0.3">
      <c r="A293" s="22">
        <v>77010000283</v>
      </c>
      <c r="B293" s="20">
        <f>SUMIFS('База данных'!E:E,'База данных'!A:A,Лист2!A293)</f>
        <v>22</v>
      </c>
      <c r="C293">
        <f t="shared" si="4"/>
        <v>0.36666666666666664</v>
      </c>
    </row>
    <row r="294" spans="1:4" x14ac:dyDescent="0.3">
      <c r="A294"/>
      <c r="B294">
        <f>AVERAGE(B2:B293)</f>
        <v>26.996575342465754</v>
      </c>
      <c r="C294">
        <f>SUM(C2:C293)</f>
        <v>131.38333333333327</v>
      </c>
      <c r="D294">
        <f>C294/292</f>
        <v>0.44994292237442901</v>
      </c>
    </row>
    <row r="295" spans="1:4" x14ac:dyDescent="0.3">
      <c r="A295"/>
      <c r="B295"/>
      <c r="C295">
        <v>7883</v>
      </c>
      <c r="D295">
        <f>C295/292/60</f>
        <v>0.44994292237442923</v>
      </c>
    </row>
    <row r="296" spans="1:4" x14ac:dyDescent="0.3">
      <c r="A296"/>
      <c r="B296"/>
    </row>
    <row r="297" spans="1:4" x14ac:dyDescent="0.3">
      <c r="A297"/>
      <c r="B297"/>
    </row>
    <row r="298" spans="1:4" x14ac:dyDescent="0.3">
      <c r="A298"/>
      <c r="B298"/>
    </row>
    <row r="299" spans="1:4" x14ac:dyDescent="0.3">
      <c r="A299"/>
      <c r="B299"/>
    </row>
    <row r="300" spans="1:4" x14ac:dyDescent="0.3">
      <c r="A300"/>
      <c r="B300"/>
    </row>
    <row r="301" spans="1:4" x14ac:dyDescent="0.3">
      <c r="A301"/>
      <c r="B301"/>
    </row>
    <row r="302" spans="1:4" x14ac:dyDescent="0.3">
      <c r="A302"/>
      <c r="B302"/>
    </row>
    <row r="303" spans="1:4" x14ac:dyDescent="0.3">
      <c r="A303"/>
      <c r="B303"/>
    </row>
    <row r="304" spans="1:4" x14ac:dyDescent="0.3">
      <c r="A304"/>
      <c r="B304"/>
    </row>
    <row r="305" spans="1:2" x14ac:dyDescent="0.3">
      <c r="A305"/>
      <c r="B305"/>
    </row>
    <row r="306" spans="1:2" x14ac:dyDescent="0.3">
      <c r="A306"/>
      <c r="B306"/>
    </row>
    <row r="307" spans="1:2" x14ac:dyDescent="0.3">
      <c r="A307"/>
      <c r="B307"/>
    </row>
    <row r="308" spans="1:2" x14ac:dyDescent="0.3">
      <c r="A308"/>
      <c r="B308"/>
    </row>
    <row r="309" spans="1:2" x14ac:dyDescent="0.3">
      <c r="A309"/>
      <c r="B309"/>
    </row>
    <row r="310" spans="1:2" x14ac:dyDescent="0.3">
      <c r="A310"/>
      <c r="B310"/>
    </row>
    <row r="311" spans="1:2" x14ac:dyDescent="0.3">
      <c r="A311"/>
      <c r="B311"/>
    </row>
    <row r="312" spans="1:2" x14ac:dyDescent="0.3">
      <c r="A312"/>
      <c r="B312"/>
    </row>
    <row r="313" spans="1:2" x14ac:dyDescent="0.3">
      <c r="A313"/>
      <c r="B313"/>
    </row>
    <row r="314" spans="1:2" x14ac:dyDescent="0.3">
      <c r="A314"/>
      <c r="B314"/>
    </row>
    <row r="315" spans="1:2" x14ac:dyDescent="0.3">
      <c r="A315"/>
      <c r="B315"/>
    </row>
    <row r="316" spans="1:2" x14ac:dyDescent="0.3">
      <c r="A316"/>
      <c r="B316"/>
    </row>
    <row r="317" spans="1:2" x14ac:dyDescent="0.3">
      <c r="A317"/>
      <c r="B317"/>
    </row>
    <row r="318" spans="1:2" x14ac:dyDescent="0.3">
      <c r="A318"/>
      <c r="B318"/>
    </row>
    <row r="319" spans="1:2" x14ac:dyDescent="0.3">
      <c r="A319"/>
      <c r="B319"/>
    </row>
    <row r="320" spans="1:2" x14ac:dyDescent="0.3">
      <c r="A320"/>
      <c r="B320"/>
    </row>
    <row r="321" spans="1:2" x14ac:dyDescent="0.3">
      <c r="A321"/>
      <c r="B321"/>
    </row>
    <row r="322" spans="1:2" x14ac:dyDescent="0.3">
      <c r="A322"/>
      <c r="B322"/>
    </row>
    <row r="323" spans="1:2" x14ac:dyDescent="0.3">
      <c r="A323"/>
      <c r="B323"/>
    </row>
    <row r="324" spans="1:2" x14ac:dyDescent="0.3">
      <c r="A324"/>
      <c r="B324"/>
    </row>
    <row r="325" spans="1:2" x14ac:dyDescent="0.3">
      <c r="A325"/>
      <c r="B325"/>
    </row>
    <row r="326" spans="1:2" x14ac:dyDescent="0.3">
      <c r="A326"/>
      <c r="B326"/>
    </row>
    <row r="327" spans="1:2" x14ac:dyDescent="0.3">
      <c r="A327"/>
      <c r="B327"/>
    </row>
    <row r="328" spans="1:2" x14ac:dyDescent="0.3">
      <c r="A328"/>
      <c r="B328"/>
    </row>
    <row r="329" spans="1:2" x14ac:dyDescent="0.3">
      <c r="A329"/>
      <c r="B329"/>
    </row>
    <row r="330" spans="1:2" x14ac:dyDescent="0.3">
      <c r="A330"/>
      <c r="B330"/>
    </row>
    <row r="331" spans="1:2" x14ac:dyDescent="0.3">
      <c r="A331"/>
      <c r="B331"/>
    </row>
    <row r="332" spans="1:2" x14ac:dyDescent="0.3">
      <c r="A332"/>
      <c r="B332"/>
    </row>
    <row r="333" spans="1:2" x14ac:dyDescent="0.3">
      <c r="A333"/>
      <c r="B333"/>
    </row>
    <row r="334" spans="1:2" x14ac:dyDescent="0.3">
      <c r="A334"/>
      <c r="B334"/>
    </row>
    <row r="335" spans="1:2" x14ac:dyDescent="0.3">
      <c r="A335"/>
      <c r="B335"/>
    </row>
    <row r="336" spans="1:2" x14ac:dyDescent="0.3">
      <c r="A336"/>
      <c r="B336"/>
    </row>
    <row r="337" spans="1:2" x14ac:dyDescent="0.3">
      <c r="A337"/>
      <c r="B337"/>
    </row>
    <row r="338" spans="1:2" x14ac:dyDescent="0.3">
      <c r="A338"/>
      <c r="B338"/>
    </row>
    <row r="339" spans="1:2" x14ac:dyDescent="0.3">
      <c r="A339"/>
      <c r="B339"/>
    </row>
    <row r="340" spans="1:2" x14ac:dyDescent="0.3">
      <c r="A340"/>
      <c r="B340"/>
    </row>
    <row r="341" spans="1:2" x14ac:dyDescent="0.3">
      <c r="A341"/>
      <c r="B341"/>
    </row>
    <row r="342" spans="1:2" x14ac:dyDescent="0.3">
      <c r="A342"/>
      <c r="B342"/>
    </row>
    <row r="343" spans="1:2" x14ac:dyDescent="0.3">
      <c r="A343"/>
      <c r="B343"/>
    </row>
    <row r="344" spans="1:2" x14ac:dyDescent="0.3">
      <c r="A344"/>
      <c r="B344"/>
    </row>
    <row r="345" spans="1:2" x14ac:dyDescent="0.3">
      <c r="A345"/>
      <c r="B345"/>
    </row>
    <row r="346" spans="1:2" x14ac:dyDescent="0.3">
      <c r="A346"/>
      <c r="B346"/>
    </row>
    <row r="347" spans="1:2" x14ac:dyDescent="0.3">
      <c r="A347"/>
      <c r="B347"/>
    </row>
    <row r="348" spans="1:2" x14ac:dyDescent="0.3">
      <c r="A348"/>
      <c r="B348"/>
    </row>
    <row r="349" spans="1:2" x14ac:dyDescent="0.3">
      <c r="A349"/>
      <c r="B349"/>
    </row>
    <row r="350" spans="1:2" x14ac:dyDescent="0.3">
      <c r="A350"/>
      <c r="B350"/>
    </row>
    <row r="351" spans="1:2" x14ac:dyDescent="0.3">
      <c r="A351"/>
      <c r="B351"/>
    </row>
    <row r="352" spans="1:2" x14ac:dyDescent="0.3">
      <c r="A352"/>
      <c r="B352"/>
    </row>
    <row r="353" spans="1:2" x14ac:dyDescent="0.3">
      <c r="A353"/>
      <c r="B353"/>
    </row>
    <row r="354" spans="1:2" x14ac:dyDescent="0.3">
      <c r="A354"/>
      <c r="B354"/>
    </row>
    <row r="355" spans="1:2" x14ac:dyDescent="0.3">
      <c r="A355"/>
      <c r="B355"/>
    </row>
    <row r="356" spans="1:2" x14ac:dyDescent="0.3">
      <c r="A356"/>
      <c r="B356"/>
    </row>
    <row r="357" spans="1:2" x14ac:dyDescent="0.3">
      <c r="A357"/>
      <c r="B357"/>
    </row>
    <row r="358" spans="1:2" x14ac:dyDescent="0.3">
      <c r="A358"/>
      <c r="B358"/>
    </row>
    <row r="359" spans="1:2" x14ac:dyDescent="0.3">
      <c r="A359"/>
      <c r="B359"/>
    </row>
    <row r="360" spans="1:2" x14ac:dyDescent="0.3">
      <c r="A360"/>
      <c r="B360"/>
    </row>
    <row r="361" spans="1:2" x14ac:dyDescent="0.3">
      <c r="A361"/>
      <c r="B361"/>
    </row>
    <row r="362" spans="1:2" x14ac:dyDescent="0.3">
      <c r="A362"/>
      <c r="B362"/>
    </row>
    <row r="363" spans="1:2" x14ac:dyDescent="0.3">
      <c r="A363"/>
      <c r="B363"/>
    </row>
    <row r="364" spans="1:2" x14ac:dyDescent="0.3">
      <c r="A364"/>
      <c r="B364"/>
    </row>
    <row r="365" spans="1:2" x14ac:dyDescent="0.3">
      <c r="A365"/>
      <c r="B365"/>
    </row>
    <row r="366" spans="1:2" x14ac:dyDescent="0.3">
      <c r="A366"/>
      <c r="B366"/>
    </row>
    <row r="367" spans="1:2" x14ac:dyDescent="0.3">
      <c r="A367"/>
      <c r="B367"/>
    </row>
    <row r="368" spans="1:2" x14ac:dyDescent="0.3">
      <c r="A368"/>
      <c r="B368"/>
    </row>
    <row r="369" spans="1:2" x14ac:dyDescent="0.3">
      <c r="A369"/>
      <c r="B369"/>
    </row>
    <row r="370" spans="1:2" x14ac:dyDescent="0.3">
      <c r="A370"/>
      <c r="B370"/>
    </row>
    <row r="371" spans="1:2" x14ac:dyDescent="0.3">
      <c r="A371"/>
      <c r="B371"/>
    </row>
    <row r="372" spans="1:2" x14ac:dyDescent="0.3">
      <c r="A372"/>
      <c r="B372"/>
    </row>
    <row r="373" spans="1:2" x14ac:dyDescent="0.3">
      <c r="A373"/>
      <c r="B373"/>
    </row>
    <row r="374" spans="1:2" x14ac:dyDescent="0.3">
      <c r="A374"/>
      <c r="B374"/>
    </row>
    <row r="375" spans="1:2" x14ac:dyDescent="0.3">
      <c r="A375"/>
      <c r="B375"/>
    </row>
    <row r="376" spans="1:2" x14ac:dyDescent="0.3">
      <c r="A376"/>
      <c r="B376"/>
    </row>
    <row r="377" spans="1:2" x14ac:dyDescent="0.3">
      <c r="A377"/>
      <c r="B377"/>
    </row>
    <row r="378" spans="1:2" x14ac:dyDescent="0.3">
      <c r="A378"/>
      <c r="B378"/>
    </row>
    <row r="379" spans="1:2" x14ac:dyDescent="0.3">
      <c r="A379"/>
      <c r="B379"/>
    </row>
    <row r="380" spans="1:2" x14ac:dyDescent="0.3">
      <c r="A380"/>
      <c r="B380"/>
    </row>
    <row r="381" spans="1:2" x14ac:dyDescent="0.3">
      <c r="A381"/>
      <c r="B381"/>
    </row>
    <row r="382" spans="1:2" x14ac:dyDescent="0.3">
      <c r="A382"/>
      <c r="B382"/>
    </row>
    <row r="383" spans="1:2" x14ac:dyDescent="0.3">
      <c r="A383"/>
      <c r="B383"/>
    </row>
    <row r="384" spans="1:2" x14ac:dyDescent="0.3">
      <c r="A384"/>
      <c r="B384"/>
    </row>
    <row r="385" spans="1:2" x14ac:dyDescent="0.3">
      <c r="A385"/>
      <c r="B385"/>
    </row>
    <row r="386" spans="1:2" x14ac:dyDescent="0.3">
      <c r="A386"/>
      <c r="B386"/>
    </row>
    <row r="387" spans="1:2" x14ac:dyDescent="0.3">
      <c r="A387"/>
      <c r="B387"/>
    </row>
    <row r="388" spans="1:2" x14ac:dyDescent="0.3">
      <c r="A388"/>
      <c r="B388"/>
    </row>
    <row r="389" spans="1:2" x14ac:dyDescent="0.3">
      <c r="A389"/>
      <c r="B389"/>
    </row>
    <row r="390" spans="1:2" x14ac:dyDescent="0.3">
      <c r="A390"/>
      <c r="B390"/>
    </row>
    <row r="391" spans="1:2" x14ac:dyDescent="0.3">
      <c r="A391"/>
      <c r="B391"/>
    </row>
    <row r="392" spans="1:2" x14ac:dyDescent="0.3">
      <c r="A392"/>
      <c r="B392"/>
    </row>
    <row r="393" spans="1:2" x14ac:dyDescent="0.3">
      <c r="A393"/>
      <c r="B393"/>
    </row>
    <row r="394" spans="1:2" x14ac:dyDescent="0.3">
      <c r="A394"/>
      <c r="B394"/>
    </row>
    <row r="395" spans="1:2" x14ac:dyDescent="0.3">
      <c r="A395"/>
      <c r="B395"/>
    </row>
    <row r="396" spans="1:2" x14ac:dyDescent="0.3">
      <c r="A396"/>
      <c r="B396"/>
    </row>
    <row r="397" spans="1:2" x14ac:dyDescent="0.3">
      <c r="A397"/>
      <c r="B397"/>
    </row>
    <row r="398" spans="1:2" x14ac:dyDescent="0.3">
      <c r="A398"/>
      <c r="B398"/>
    </row>
    <row r="399" spans="1:2" x14ac:dyDescent="0.3">
      <c r="A399"/>
      <c r="B399"/>
    </row>
    <row r="400" spans="1:2" x14ac:dyDescent="0.3">
      <c r="A400"/>
      <c r="B400"/>
    </row>
    <row r="401" spans="1:2" x14ac:dyDescent="0.3">
      <c r="A401"/>
      <c r="B401"/>
    </row>
    <row r="402" spans="1:2" x14ac:dyDescent="0.3">
      <c r="A402"/>
      <c r="B402"/>
    </row>
    <row r="403" spans="1:2" x14ac:dyDescent="0.3">
      <c r="A403"/>
      <c r="B403"/>
    </row>
    <row r="404" spans="1:2" x14ac:dyDescent="0.3">
      <c r="A404"/>
      <c r="B404"/>
    </row>
    <row r="405" spans="1:2" x14ac:dyDescent="0.3">
      <c r="A405"/>
      <c r="B405"/>
    </row>
    <row r="406" spans="1:2" x14ac:dyDescent="0.3">
      <c r="A406"/>
      <c r="B406"/>
    </row>
    <row r="407" spans="1:2" x14ac:dyDescent="0.3">
      <c r="A407"/>
      <c r="B407"/>
    </row>
    <row r="408" spans="1:2" x14ac:dyDescent="0.3">
      <c r="A408"/>
      <c r="B408"/>
    </row>
    <row r="409" spans="1:2" x14ac:dyDescent="0.3">
      <c r="A409"/>
      <c r="B409"/>
    </row>
    <row r="410" spans="1:2" x14ac:dyDescent="0.3">
      <c r="A410"/>
      <c r="B410"/>
    </row>
    <row r="411" spans="1:2" x14ac:dyDescent="0.3">
      <c r="A411"/>
      <c r="B411"/>
    </row>
    <row r="412" spans="1:2" x14ac:dyDescent="0.3">
      <c r="A412"/>
      <c r="B412"/>
    </row>
    <row r="413" spans="1:2" x14ac:dyDescent="0.3">
      <c r="A413"/>
      <c r="B413"/>
    </row>
    <row r="414" spans="1:2" x14ac:dyDescent="0.3">
      <c r="A414"/>
      <c r="B414"/>
    </row>
    <row r="415" spans="1:2" x14ac:dyDescent="0.3">
      <c r="A415"/>
      <c r="B415"/>
    </row>
    <row r="416" spans="1:2" x14ac:dyDescent="0.3">
      <c r="A416"/>
      <c r="B416"/>
    </row>
    <row r="417" spans="1:2" x14ac:dyDescent="0.3">
      <c r="A417"/>
      <c r="B417"/>
    </row>
    <row r="418" spans="1:2" x14ac:dyDescent="0.3">
      <c r="A418"/>
      <c r="B418"/>
    </row>
    <row r="419" spans="1:2" x14ac:dyDescent="0.3">
      <c r="A419"/>
      <c r="B419"/>
    </row>
    <row r="420" spans="1:2" x14ac:dyDescent="0.3">
      <c r="A420"/>
      <c r="B420"/>
    </row>
    <row r="421" spans="1:2" x14ac:dyDescent="0.3">
      <c r="A421"/>
      <c r="B421"/>
    </row>
    <row r="422" spans="1:2" x14ac:dyDescent="0.3">
      <c r="A422"/>
      <c r="B422"/>
    </row>
    <row r="423" spans="1:2" x14ac:dyDescent="0.3">
      <c r="A423"/>
      <c r="B423"/>
    </row>
    <row r="424" spans="1:2" x14ac:dyDescent="0.3">
      <c r="A424"/>
      <c r="B424"/>
    </row>
    <row r="425" spans="1:2" x14ac:dyDescent="0.3">
      <c r="A425"/>
      <c r="B425"/>
    </row>
    <row r="426" spans="1:2" x14ac:dyDescent="0.3">
      <c r="A426"/>
      <c r="B426"/>
    </row>
    <row r="427" spans="1:2" x14ac:dyDescent="0.3">
      <c r="A427"/>
      <c r="B427"/>
    </row>
    <row r="428" spans="1:2" x14ac:dyDescent="0.3">
      <c r="A428"/>
      <c r="B428"/>
    </row>
    <row r="429" spans="1:2" x14ac:dyDescent="0.3">
      <c r="A429"/>
      <c r="B429"/>
    </row>
    <row r="430" spans="1:2" x14ac:dyDescent="0.3">
      <c r="A430"/>
      <c r="B430"/>
    </row>
    <row r="431" spans="1:2" x14ac:dyDescent="0.3">
      <c r="A431"/>
      <c r="B431"/>
    </row>
    <row r="432" spans="1:2" x14ac:dyDescent="0.3">
      <c r="A432"/>
      <c r="B432"/>
    </row>
    <row r="433" spans="1:2" x14ac:dyDescent="0.3">
      <c r="A433"/>
      <c r="B433"/>
    </row>
    <row r="434" spans="1:2" x14ac:dyDescent="0.3">
      <c r="A434"/>
      <c r="B434"/>
    </row>
    <row r="435" spans="1:2" x14ac:dyDescent="0.3">
      <c r="A435"/>
      <c r="B435"/>
    </row>
    <row r="436" spans="1:2" x14ac:dyDescent="0.3">
      <c r="A436"/>
      <c r="B436"/>
    </row>
    <row r="437" spans="1:2" x14ac:dyDescent="0.3">
      <c r="A437"/>
      <c r="B437"/>
    </row>
    <row r="438" spans="1:2" x14ac:dyDescent="0.3">
      <c r="A438"/>
      <c r="B438"/>
    </row>
    <row r="439" spans="1:2" x14ac:dyDescent="0.3">
      <c r="A439"/>
      <c r="B439"/>
    </row>
    <row r="440" spans="1:2" x14ac:dyDescent="0.3">
      <c r="A440"/>
      <c r="B440"/>
    </row>
    <row r="441" spans="1:2" x14ac:dyDescent="0.3">
      <c r="A441"/>
      <c r="B441"/>
    </row>
    <row r="442" spans="1:2" x14ac:dyDescent="0.3">
      <c r="A442"/>
      <c r="B442"/>
    </row>
    <row r="443" spans="1:2" x14ac:dyDescent="0.3">
      <c r="A443"/>
      <c r="B443"/>
    </row>
    <row r="444" spans="1:2" x14ac:dyDescent="0.3">
      <c r="A444"/>
      <c r="B444"/>
    </row>
    <row r="445" spans="1:2" x14ac:dyDescent="0.3">
      <c r="A445"/>
      <c r="B445"/>
    </row>
    <row r="446" spans="1:2" x14ac:dyDescent="0.3">
      <c r="A446"/>
      <c r="B446"/>
    </row>
    <row r="447" spans="1:2" x14ac:dyDescent="0.3">
      <c r="A447"/>
      <c r="B447"/>
    </row>
    <row r="448" spans="1:2" x14ac:dyDescent="0.3">
      <c r="A448"/>
      <c r="B448"/>
    </row>
    <row r="449" spans="1:2" x14ac:dyDescent="0.3">
      <c r="A449"/>
      <c r="B449"/>
    </row>
    <row r="450" spans="1:2" x14ac:dyDescent="0.3">
      <c r="A450"/>
      <c r="B450"/>
    </row>
    <row r="451" spans="1:2" x14ac:dyDescent="0.3">
      <c r="A451"/>
      <c r="B451"/>
    </row>
    <row r="452" spans="1:2" x14ac:dyDescent="0.3">
      <c r="A452"/>
      <c r="B452"/>
    </row>
    <row r="453" spans="1:2" x14ac:dyDescent="0.3">
      <c r="A453"/>
      <c r="B453"/>
    </row>
    <row r="454" spans="1:2" x14ac:dyDescent="0.3">
      <c r="A454"/>
      <c r="B454"/>
    </row>
    <row r="455" spans="1:2" x14ac:dyDescent="0.3">
      <c r="A455"/>
      <c r="B455"/>
    </row>
    <row r="456" spans="1:2" x14ac:dyDescent="0.3">
      <c r="A456"/>
      <c r="B456"/>
    </row>
    <row r="457" spans="1:2" x14ac:dyDescent="0.3">
      <c r="A457"/>
      <c r="B457"/>
    </row>
    <row r="458" spans="1:2" x14ac:dyDescent="0.3">
      <c r="A458"/>
      <c r="B458"/>
    </row>
    <row r="459" spans="1:2" x14ac:dyDescent="0.3">
      <c r="A459"/>
      <c r="B459"/>
    </row>
    <row r="460" spans="1:2" x14ac:dyDescent="0.3">
      <c r="A460"/>
      <c r="B460"/>
    </row>
    <row r="461" spans="1:2" x14ac:dyDescent="0.3">
      <c r="A461"/>
      <c r="B461"/>
    </row>
    <row r="462" spans="1:2" x14ac:dyDescent="0.3">
      <c r="A462"/>
      <c r="B462"/>
    </row>
    <row r="463" spans="1:2" x14ac:dyDescent="0.3">
      <c r="A463"/>
      <c r="B463"/>
    </row>
    <row r="464" spans="1:2" x14ac:dyDescent="0.3">
      <c r="A464"/>
      <c r="B464"/>
    </row>
    <row r="465" spans="1:2" x14ac:dyDescent="0.3">
      <c r="A465"/>
      <c r="B465"/>
    </row>
    <row r="466" spans="1:2" x14ac:dyDescent="0.3">
      <c r="A466"/>
      <c r="B466"/>
    </row>
    <row r="467" spans="1:2" x14ac:dyDescent="0.3">
      <c r="A467"/>
      <c r="B467"/>
    </row>
    <row r="468" spans="1:2" x14ac:dyDescent="0.3">
      <c r="A468"/>
      <c r="B468"/>
    </row>
    <row r="469" spans="1:2" x14ac:dyDescent="0.3">
      <c r="A469"/>
      <c r="B469"/>
    </row>
    <row r="470" spans="1:2" x14ac:dyDescent="0.3">
      <c r="A470"/>
      <c r="B470"/>
    </row>
    <row r="471" spans="1:2" x14ac:dyDescent="0.3">
      <c r="A471"/>
      <c r="B471"/>
    </row>
    <row r="472" spans="1:2" x14ac:dyDescent="0.3">
      <c r="A472"/>
      <c r="B472"/>
    </row>
    <row r="473" spans="1:2" x14ac:dyDescent="0.3">
      <c r="A473"/>
      <c r="B473"/>
    </row>
    <row r="474" spans="1:2" x14ac:dyDescent="0.3">
      <c r="A474"/>
      <c r="B474"/>
    </row>
    <row r="475" spans="1:2" x14ac:dyDescent="0.3">
      <c r="A475"/>
      <c r="B475"/>
    </row>
    <row r="476" spans="1:2" x14ac:dyDescent="0.3">
      <c r="A476"/>
      <c r="B476"/>
    </row>
    <row r="477" spans="1:2" x14ac:dyDescent="0.3">
      <c r="A477"/>
      <c r="B477"/>
    </row>
    <row r="478" spans="1:2" x14ac:dyDescent="0.3">
      <c r="A478"/>
      <c r="B478"/>
    </row>
    <row r="479" spans="1:2" x14ac:dyDescent="0.3">
      <c r="A479"/>
      <c r="B479"/>
    </row>
    <row r="480" spans="1:2" x14ac:dyDescent="0.3">
      <c r="A480"/>
      <c r="B480"/>
    </row>
    <row r="481" spans="1:2" x14ac:dyDescent="0.3">
      <c r="A481"/>
      <c r="B481"/>
    </row>
    <row r="482" spans="1:2" x14ac:dyDescent="0.3">
      <c r="A482"/>
      <c r="B482"/>
    </row>
    <row r="483" spans="1:2" x14ac:dyDescent="0.3">
      <c r="A483"/>
      <c r="B483"/>
    </row>
    <row r="484" spans="1:2" x14ac:dyDescent="0.3">
      <c r="A484"/>
      <c r="B484"/>
    </row>
    <row r="485" spans="1:2" x14ac:dyDescent="0.3">
      <c r="A485"/>
      <c r="B485"/>
    </row>
    <row r="486" spans="1:2" x14ac:dyDescent="0.3">
      <c r="A486"/>
      <c r="B486"/>
    </row>
    <row r="487" spans="1:2" x14ac:dyDescent="0.3">
      <c r="A487"/>
      <c r="B487"/>
    </row>
    <row r="488" spans="1:2" x14ac:dyDescent="0.3">
      <c r="A488"/>
      <c r="B488"/>
    </row>
    <row r="489" spans="1:2" x14ac:dyDescent="0.3">
      <c r="A489"/>
      <c r="B489"/>
    </row>
    <row r="490" spans="1:2" x14ac:dyDescent="0.3">
      <c r="A490"/>
      <c r="B490"/>
    </row>
    <row r="491" spans="1:2" x14ac:dyDescent="0.3">
      <c r="A491"/>
      <c r="B491"/>
    </row>
    <row r="492" spans="1:2" x14ac:dyDescent="0.3">
      <c r="A492"/>
      <c r="B492"/>
    </row>
    <row r="493" spans="1:2" x14ac:dyDescent="0.3">
      <c r="A493"/>
      <c r="B493"/>
    </row>
    <row r="494" spans="1:2" x14ac:dyDescent="0.3">
      <c r="A494"/>
      <c r="B494"/>
    </row>
    <row r="495" spans="1:2" x14ac:dyDescent="0.3">
      <c r="A495"/>
      <c r="B495"/>
    </row>
    <row r="496" spans="1:2" x14ac:dyDescent="0.3">
      <c r="A496"/>
      <c r="B496"/>
    </row>
    <row r="497" spans="1:2" x14ac:dyDescent="0.3">
      <c r="A497"/>
      <c r="B497"/>
    </row>
    <row r="498" spans="1:2" x14ac:dyDescent="0.3">
      <c r="A498"/>
      <c r="B498"/>
    </row>
    <row r="499" spans="1:2" x14ac:dyDescent="0.3">
      <c r="A499"/>
      <c r="B499"/>
    </row>
    <row r="500" spans="1:2" x14ac:dyDescent="0.3">
      <c r="A500"/>
      <c r="B500"/>
    </row>
    <row r="501" spans="1:2" x14ac:dyDescent="0.3">
      <c r="A501"/>
      <c r="B501"/>
    </row>
    <row r="502" spans="1:2" x14ac:dyDescent="0.3">
      <c r="A502"/>
      <c r="B502"/>
    </row>
    <row r="503" spans="1:2" x14ac:dyDescent="0.3">
      <c r="A503"/>
      <c r="B503"/>
    </row>
    <row r="504" spans="1:2" x14ac:dyDescent="0.3">
      <c r="A504"/>
      <c r="B504"/>
    </row>
    <row r="505" spans="1:2" x14ac:dyDescent="0.3">
      <c r="A505"/>
      <c r="B505"/>
    </row>
    <row r="506" spans="1:2" x14ac:dyDescent="0.3">
      <c r="A506"/>
      <c r="B506"/>
    </row>
    <row r="507" spans="1:2" x14ac:dyDescent="0.3">
      <c r="A507"/>
      <c r="B507"/>
    </row>
    <row r="508" spans="1:2" x14ac:dyDescent="0.3">
      <c r="A508"/>
      <c r="B508"/>
    </row>
    <row r="509" spans="1:2" x14ac:dyDescent="0.3">
      <c r="A509"/>
      <c r="B509"/>
    </row>
    <row r="510" spans="1:2" x14ac:dyDescent="0.3">
      <c r="A510"/>
      <c r="B510"/>
    </row>
    <row r="511" spans="1:2" x14ac:dyDescent="0.3">
      <c r="A511"/>
      <c r="B511"/>
    </row>
    <row r="512" spans="1:2" x14ac:dyDescent="0.3">
      <c r="A512"/>
      <c r="B512"/>
    </row>
    <row r="513" spans="1:2" x14ac:dyDescent="0.3">
      <c r="A513"/>
      <c r="B513"/>
    </row>
    <row r="514" spans="1:2" x14ac:dyDescent="0.3">
      <c r="A514"/>
      <c r="B514"/>
    </row>
    <row r="515" spans="1:2" x14ac:dyDescent="0.3">
      <c r="A515"/>
      <c r="B515"/>
    </row>
    <row r="516" spans="1:2" x14ac:dyDescent="0.3">
      <c r="A516"/>
      <c r="B516"/>
    </row>
    <row r="517" spans="1:2" x14ac:dyDescent="0.3">
      <c r="A517"/>
      <c r="B517"/>
    </row>
    <row r="518" spans="1:2" x14ac:dyDescent="0.3">
      <c r="A518"/>
      <c r="B518"/>
    </row>
    <row r="519" spans="1:2" x14ac:dyDescent="0.3">
      <c r="A519"/>
      <c r="B519"/>
    </row>
    <row r="520" spans="1:2" x14ac:dyDescent="0.3">
      <c r="A520"/>
      <c r="B520"/>
    </row>
    <row r="521" spans="1:2" x14ac:dyDescent="0.3">
      <c r="A521"/>
      <c r="B521"/>
    </row>
    <row r="522" spans="1:2" x14ac:dyDescent="0.3">
      <c r="A522"/>
      <c r="B522"/>
    </row>
    <row r="523" spans="1:2" x14ac:dyDescent="0.3">
      <c r="A523"/>
      <c r="B523"/>
    </row>
    <row r="524" spans="1:2" x14ac:dyDescent="0.3">
      <c r="A524"/>
      <c r="B524"/>
    </row>
    <row r="525" spans="1:2" x14ac:dyDescent="0.3">
      <c r="A525"/>
      <c r="B525"/>
    </row>
    <row r="526" spans="1:2" x14ac:dyDescent="0.3">
      <c r="A526"/>
      <c r="B526"/>
    </row>
    <row r="527" spans="1:2" x14ac:dyDescent="0.3">
      <c r="A527"/>
      <c r="B527"/>
    </row>
    <row r="528" spans="1:2" x14ac:dyDescent="0.3">
      <c r="A528"/>
      <c r="B528"/>
    </row>
    <row r="529" spans="1:2" x14ac:dyDescent="0.3">
      <c r="A529"/>
      <c r="B529"/>
    </row>
    <row r="530" spans="1:2" x14ac:dyDescent="0.3">
      <c r="A530"/>
      <c r="B530"/>
    </row>
    <row r="531" spans="1:2" x14ac:dyDescent="0.3">
      <c r="A531"/>
      <c r="B531"/>
    </row>
    <row r="532" spans="1:2" x14ac:dyDescent="0.3">
      <c r="A532"/>
      <c r="B532"/>
    </row>
    <row r="533" spans="1:2" x14ac:dyDescent="0.3">
      <c r="A533"/>
      <c r="B533"/>
    </row>
    <row r="534" spans="1:2" x14ac:dyDescent="0.3">
      <c r="A534"/>
      <c r="B534"/>
    </row>
    <row r="535" spans="1:2" x14ac:dyDescent="0.3">
      <c r="A535"/>
      <c r="B535"/>
    </row>
    <row r="536" spans="1:2" x14ac:dyDescent="0.3">
      <c r="A536"/>
      <c r="B536"/>
    </row>
    <row r="537" spans="1:2" x14ac:dyDescent="0.3">
      <c r="A537"/>
      <c r="B537"/>
    </row>
    <row r="538" spans="1:2" x14ac:dyDescent="0.3">
      <c r="A538"/>
      <c r="B538"/>
    </row>
    <row r="539" spans="1:2" x14ac:dyDescent="0.3">
      <c r="A539"/>
      <c r="B539"/>
    </row>
    <row r="540" spans="1:2" x14ac:dyDescent="0.3">
      <c r="A540"/>
      <c r="B540"/>
    </row>
    <row r="541" spans="1:2" x14ac:dyDescent="0.3">
      <c r="A541"/>
      <c r="B541"/>
    </row>
    <row r="542" spans="1:2" x14ac:dyDescent="0.3">
      <c r="A542"/>
      <c r="B542"/>
    </row>
    <row r="543" spans="1:2" x14ac:dyDescent="0.3">
      <c r="A543"/>
      <c r="B543"/>
    </row>
    <row r="544" spans="1:2" x14ac:dyDescent="0.3">
      <c r="A544"/>
      <c r="B544"/>
    </row>
    <row r="545" spans="1:2" x14ac:dyDescent="0.3">
      <c r="A545"/>
      <c r="B545"/>
    </row>
    <row r="546" spans="1:2" x14ac:dyDescent="0.3">
      <c r="A546"/>
      <c r="B546"/>
    </row>
    <row r="547" spans="1:2" x14ac:dyDescent="0.3">
      <c r="A547"/>
      <c r="B547"/>
    </row>
    <row r="548" spans="1:2" x14ac:dyDescent="0.3">
      <c r="A548"/>
      <c r="B548"/>
    </row>
    <row r="549" spans="1:2" x14ac:dyDescent="0.3">
      <c r="A549"/>
      <c r="B549"/>
    </row>
    <row r="550" spans="1:2" x14ac:dyDescent="0.3">
      <c r="A550"/>
      <c r="B550"/>
    </row>
    <row r="551" spans="1:2" x14ac:dyDescent="0.3">
      <c r="A551"/>
      <c r="B551"/>
    </row>
    <row r="552" spans="1:2" x14ac:dyDescent="0.3">
      <c r="A552"/>
      <c r="B552"/>
    </row>
    <row r="553" spans="1:2" x14ac:dyDescent="0.3">
      <c r="A553"/>
      <c r="B553"/>
    </row>
    <row r="554" spans="1:2" x14ac:dyDescent="0.3">
      <c r="A554"/>
      <c r="B554"/>
    </row>
    <row r="555" spans="1:2" x14ac:dyDescent="0.3">
      <c r="A555"/>
      <c r="B555"/>
    </row>
    <row r="556" spans="1:2" x14ac:dyDescent="0.3">
      <c r="A556"/>
      <c r="B556"/>
    </row>
    <row r="557" spans="1:2" x14ac:dyDescent="0.3">
      <c r="A557"/>
      <c r="B557"/>
    </row>
    <row r="558" spans="1:2" x14ac:dyDescent="0.3">
      <c r="A558"/>
      <c r="B558"/>
    </row>
    <row r="559" spans="1:2" x14ac:dyDescent="0.3">
      <c r="A559"/>
      <c r="B559"/>
    </row>
    <row r="560" spans="1:2" x14ac:dyDescent="0.3">
      <c r="A560"/>
      <c r="B560"/>
    </row>
    <row r="561" spans="1:2" x14ac:dyDescent="0.3">
      <c r="A561"/>
      <c r="B561"/>
    </row>
    <row r="562" spans="1:2" x14ac:dyDescent="0.3">
      <c r="A562"/>
      <c r="B562"/>
    </row>
    <row r="563" spans="1:2" x14ac:dyDescent="0.3">
      <c r="A563"/>
      <c r="B563"/>
    </row>
    <row r="564" spans="1:2" x14ac:dyDescent="0.3">
      <c r="A564"/>
      <c r="B564"/>
    </row>
    <row r="565" spans="1:2" x14ac:dyDescent="0.3">
      <c r="A565"/>
      <c r="B565"/>
    </row>
    <row r="566" spans="1:2" x14ac:dyDescent="0.3">
      <c r="A566"/>
      <c r="B566"/>
    </row>
    <row r="567" spans="1:2" x14ac:dyDescent="0.3">
      <c r="A567"/>
      <c r="B567"/>
    </row>
    <row r="568" spans="1:2" x14ac:dyDescent="0.3">
      <c r="A568"/>
      <c r="B568"/>
    </row>
    <row r="569" spans="1:2" x14ac:dyDescent="0.3">
      <c r="A569"/>
      <c r="B569"/>
    </row>
    <row r="570" spans="1:2" x14ac:dyDescent="0.3">
      <c r="A570"/>
      <c r="B570"/>
    </row>
    <row r="571" spans="1:2" x14ac:dyDescent="0.3">
      <c r="A571"/>
      <c r="B571"/>
    </row>
    <row r="572" spans="1:2" x14ac:dyDescent="0.3">
      <c r="A572"/>
      <c r="B572"/>
    </row>
    <row r="573" spans="1:2" x14ac:dyDescent="0.3">
      <c r="A573"/>
      <c r="B573"/>
    </row>
    <row r="574" spans="1:2" x14ac:dyDescent="0.3">
      <c r="A574"/>
      <c r="B574"/>
    </row>
    <row r="575" spans="1:2" x14ac:dyDescent="0.3">
      <c r="A575"/>
      <c r="B575"/>
    </row>
    <row r="576" spans="1:2" x14ac:dyDescent="0.3">
      <c r="A576"/>
      <c r="B576"/>
    </row>
    <row r="577" spans="1:2" x14ac:dyDescent="0.3">
      <c r="A577"/>
      <c r="B577"/>
    </row>
    <row r="578" spans="1:2" x14ac:dyDescent="0.3">
      <c r="A578"/>
      <c r="B578"/>
    </row>
    <row r="579" spans="1:2" x14ac:dyDescent="0.3">
      <c r="A579"/>
      <c r="B579"/>
    </row>
    <row r="580" spans="1:2" x14ac:dyDescent="0.3">
      <c r="A580"/>
      <c r="B580"/>
    </row>
    <row r="581" spans="1:2" x14ac:dyDescent="0.3">
      <c r="A581"/>
      <c r="B581"/>
    </row>
    <row r="582" spans="1:2" x14ac:dyDescent="0.3">
      <c r="A582"/>
      <c r="B582"/>
    </row>
    <row r="583" spans="1:2" x14ac:dyDescent="0.3">
      <c r="A583"/>
      <c r="B583"/>
    </row>
    <row r="584" spans="1:2" x14ac:dyDescent="0.3">
      <c r="A584"/>
      <c r="B584"/>
    </row>
    <row r="585" spans="1:2" x14ac:dyDescent="0.3">
      <c r="A585"/>
      <c r="B585"/>
    </row>
    <row r="586" spans="1:2" x14ac:dyDescent="0.3">
      <c r="A586"/>
      <c r="B586"/>
    </row>
    <row r="587" spans="1:2" x14ac:dyDescent="0.3">
      <c r="A587"/>
      <c r="B587"/>
    </row>
    <row r="588" spans="1:2" x14ac:dyDescent="0.3">
      <c r="A588"/>
      <c r="B588"/>
    </row>
    <row r="589" spans="1:2" x14ac:dyDescent="0.3">
      <c r="A589"/>
      <c r="B589"/>
    </row>
    <row r="590" spans="1:2" x14ac:dyDescent="0.3">
      <c r="A590"/>
      <c r="B590"/>
    </row>
    <row r="591" spans="1:2" x14ac:dyDescent="0.3">
      <c r="A591"/>
      <c r="B591"/>
    </row>
    <row r="592" spans="1:2" x14ac:dyDescent="0.3">
      <c r="A592"/>
      <c r="B592"/>
    </row>
    <row r="593" spans="1:2" x14ac:dyDescent="0.3">
      <c r="A593"/>
      <c r="B593"/>
    </row>
    <row r="594" spans="1:2" x14ac:dyDescent="0.3">
      <c r="A594"/>
      <c r="B594"/>
    </row>
    <row r="595" spans="1:2" x14ac:dyDescent="0.3">
      <c r="A595"/>
      <c r="B595"/>
    </row>
    <row r="596" spans="1:2" x14ac:dyDescent="0.3">
      <c r="A596"/>
      <c r="B596"/>
    </row>
    <row r="597" spans="1:2" x14ac:dyDescent="0.3">
      <c r="A597"/>
      <c r="B597"/>
    </row>
    <row r="598" spans="1:2" x14ac:dyDescent="0.3">
      <c r="A598"/>
      <c r="B598"/>
    </row>
    <row r="599" spans="1:2" x14ac:dyDescent="0.3">
      <c r="A599"/>
      <c r="B599"/>
    </row>
    <row r="600" spans="1:2" x14ac:dyDescent="0.3">
      <c r="A600"/>
      <c r="B600"/>
    </row>
    <row r="601" spans="1:2" x14ac:dyDescent="0.3">
      <c r="A601"/>
      <c r="B601"/>
    </row>
    <row r="602" spans="1:2" x14ac:dyDescent="0.3">
      <c r="A602"/>
      <c r="B602"/>
    </row>
    <row r="603" spans="1:2" x14ac:dyDescent="0.3">
      <c r="A603"/>
      <c r="B603"/>
    </row>
    <row r="604" spans="1:2" x14ac:dyDescent="0.3">
      <c r="A604"/>
      <c r="B604"/>
    </row>
    <row r="605" spans="1:2" x14ac:dyDescent="0.3">
      <c r="A605"/>
      <c r="B605"/>
    </row>
    <row r="606" spans="1:2" x14ac:dyDescent="0.3">
      <c r="A606"/>
      <c r="B606"/>
    </row>
    <row r="607" spans="1:2" x14ac:dyDescent="0.3">
      <c r="A607"/>
      <c r="B607"/>
    </row>
    <row r="608" spans="1:2" x14ac:dyDescent="0.3">
      <c r="A608"/>
      <c r="B608"/>
    </row>
    <row r="609" spans="1:2" x14ac:dyDescent="0.3">
      <c r="A609"/>
      <c r="B609"/>
    </row>
    <row r="610" spans="1:2" x14ac:dyDescent="0.3">
      <c r="A610"/>
      <c r="B610"/>
    </row>
    <row r="611" spans="1:2" x14ac:dyDescent="0.3">
      <c r="A611"/>
      <c r="B611"/>
    </row>
    <row r="612" spans="1:2" x14ac:dyDescent="0.3">
      <c r="A612"/>
      <c r="B612"/>
    </row>
    <row r="613" spans="1:2" x14ac:dyDescent="0.3">
      <c r="A613"/>
      <c r="B613"/>
    </row>
    <row r="614" spans="1:2" x14ac:dyDescent="0.3">
      <c r="A614"/>
      <c r="B614"/>
    </row>
    <row r="615" spans="1:2" x14ac:dyDescent="0.3">
      <c r="A615"/>
      <c r="B615"/>
    </row>
    <row r="616" spans="1:2" x14ac:dyDescent="0.3">
      <c r="A616"/>
      <c r="B616"/>
    </row>
    <row r="617" spans="1:2" x14ac:dyDescent="0.3">
      <c r="A617"/>
      <c r="B617"/>
    </row>
    <row r="618" spans="1:2" x14ac:dyDescent="0.3">
      <c r="A618"/>
      <c r="B618"/>
    </row>
    <row r="619" spans="1:2" x14ac:dyDescent="0.3">
      <c r="A619"/>
      <c r="B619"/>
    </row>
    <row r="620" spans="1:2" x14ac:dyDescent="0.3">
      <c r="A620"/>
      <c r="B620"/>
    </row>
    <row r="621" spans="1:2" x14ac:dyDescent="0.3">
      <c r="A621"/>
      <c r="B621"/>
    </row>
    <row r="622" spans="1:2" x14ac:dyDescent="0.3">
      <c r="A622"/>
      <c r="B622"/>
    </row>
    <row r="623" spans="1:2" x14ac:dyDescent="0.3">
      <c r="A623"/>
      <c r="B623"/>
    </row>
    <row r="624" spans="1:2" x14ac:dyDescent="0.3">
      <c r="A624"/>
      <c r="B6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A2" sqref="A2"/>
    </sheetView>
  </sheetViews>
  <sheetFormatPr defaultRowHeight="14.4" x14ac:dyDescent="0.3"/>
  <cols>
    <col min="1" max="1" width="17.77734375" customWidth="1"/>
  </cols>
  <sheetData>
    <row r="1" spans="1:1" x14ac:dyDescent="0.3">
      <c r="A1">
        <f>VLOOKUP(77010000055,'База данных'!A:B,2,FALSE)</f>
        <v>1</v>
      </c>
    </row>
    <row r="2" spans="1:1" x14ac:dyDescent="0.3">
      <c r="A2">
        <f>SUMIF('База данных'!B:B,"1",'База данных'!E:E)</f>
        <v>2705</v>
      </c>
    </row>
    <row r="3" spans="1:1" x14ac:dyDescent="0.3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4578-25A0-4C90-A3D5-9D7DC64262FC}">
  <dimension ref="A1:D624"/>
  <sheetViews>
    <sheetView workbookViewId="0">
      <selection activeCell="D1" sqref="D1:D1048524"/>
    </sheetView>
  </sheetViews>
  <sheetFormatPr defaultRowHeight="14.4" x14ac:dyDescent="0.3"/>
  <cols>
    <col min="1" max="1" width="20.5546875" style="26" customWidth="1"/>
    <col min="2" max="2" width="32.5546875" style="26" customWidth="1"/>
  </cols>
  <sheetData>
    <row r="1" spans="1:4" x14ac:dyDescent="0.3">
      <c r="A1" s="18" t="s">
        <v>9</v>
      </c>
      <c r="B1" s="18" t="s">
        <v>7</v>
      </c>
      <c r="D1" s="18" t="s">
        <v>9</v>
      </c>
    </row>
    <row r="2" spans="1:4" x14ac:dyDescent="0.3">
      <c r="A2" s="20">
        <v>77010000068</v>
      </c>
      <c r="B2" s="21" t="s">
        <v>0</v>
      </c>
      <c r="D2" s="20">
        <v>77010000068</v>
      </c>
    </row>
    <row r="3" spans="1:4" x14ac:dyDescent="0.3">
      <c r="A3" s="22">
        <v>77010000001</v>
      </c>
      <c r="B3" s="23" t="s">
        <v>0</v>
      </c>
      <c r="D3" s="22">
        <v>77010000001</v>
      </c>
    </row>
    <row r="4" spans="1:4" x14ac:dyDescent="0.3">
      <c r="A4" s="22">
        <v>77010000003</v>
      </c>
      <c r="B4" s="23" t="s">
        <v>0</v>
      </c>
      <c r="D4" s="22">
        <v>77010000003</v>
      </c>
    </row>
    <row r="5" spans="1:4" x14ac:dyDescent="0.3">
      <c r="A5" s="22">
        <v>77010000004</v>
      </c>
      <c r="B5" s="23" t="s">
        <v>0</v>
      </c>
      <c r="D5" s="22">
        <v>77010000004</v>
      </c>
    </row>
    <row r="6" spans="1:4" x14ac:dyDescent="0.3">
      <c r="A6" s="22">
        <v>77010000008</v>
      </c>
      <c r="B6" s="23" t="s">
        <v>0</v>
      </c>
      <c r="D6" s="22">
        <v>77010000008</v>
      </c>
    </row>
    <row r="7" spans="1:4" x14ac:dyDescent="0.3">
      <c r="A7" s="22">
        <v>77010000052</v>
      </c>
      <c r="B7" s="23" t="s">
        <v>0</v>
      </c>
      <c r="D7" s="22">
        <v>77010000052</v>
      </c>
    </row>
    <row r="8" spans="1:4" x14ac:dyDescent="0.3">
      <c r="A8" s="22">
        <v>77010000060</v>
      </c>
      <c r="B8" s="23" t="s">
        <v>0</v>
      </c>
      <c r="D8" s="22">
        <v>77010000060</v>
      </c>
    </row>
    <row r="9" spans="1:4" x14ac:dyDescent="0.3">
      <c r="A9" s="22">
        <v>77010000046</v>
      </c>
      <c r="B9" s="23" t="s">
        <v>0</v>
      </c>
      <c r="D9" s="22">
        <v>77010000046</v>
      </c>
    </row>
    <row r="10" spans="1:4" x14ac:dyDescent="0.3">
      <c r="A10" s="22">
        <v>77010000054</v>
      </c>
      <c r="B10" s="23" t="s">
        <v>0</v>
      </c>
      <c r="D10" s="22">
        <v>77010000054</v>
      </c>
    </row>
    <row r="11" spans="1:4" x14ac:dyDescent="0.3">
      <c r="A11" s="22">
        <v>77010000062</v>
      </c>
      <c r="B11" s="23" t="s">
        <v>0</v>
      </c>
      <c r="D11" s="22">
        <v>77010000062</v>
      </c>
    </row>
    <row r="12" spans="1:4" x14ac:dyDescent="0.3">
      <c r="A12" s="22">
        <v>77010000065</v>
      </c>
      <c r="B12" s="23" t="s">
        <v>0</v>
      </c>
      <c r="D12" s="22">
        <v>77010000065</v>
      </c>
    </row>
    <row r="13" spans="1:4" x14ac:dyDescent="0.3">
      <c r="A13" s="22">
        <v>77010000066</v>
      </c>
      <c r="B13" s="23" t="s">
        <v>0</v>
      </c>
      <c r="D13" s="22">
        <v>77010000066</v>
      </c>
    </row>
    <row r="14" spans="1:4" x14ac:dyDescent="0.3">
      <c r="A14" s="22">
        <v>77010000063</v>
      </c>
      <c r="B14" s="23" t="s">
        <v>1</v>
      </c>
      <c r="D14" s="22">
        <v>77010000045</v>
      </c>
    </row>
    <row r="15" spans="1:4" x14ac:dyDescent="0.3">
      <c r="A15" s="22">
        <v>77010000045</v>
      </c>
      <c r="B15" s="23" t="s">
        <v>0</v>
      </c>
      <c r="D15" s="22">
        <v>77010000082</v>
      </c>
    </row>
    <row r="16" spans="1:4" x14ac:dyDescent="0.3">
      <c r="A16" s="22">
        <v>77010000082</v>
      </c>
      <c r="B16" s="23" t="s">
        <v>0</v>
      </c>
      <c r="D16" s="22">
        <v>77010000094</v>
      </c>
    </row>
    <row r="17" spans="1:4" x14ac:dyDescent="0.3">
      <c r="A17" s="22">
        <v>77010000094</v>
      </c>
      <c r="B17" s="23" t="s">
        <v>0</v>
      </c>
      <c r="D17" s="22">
        <v>77010000014</v>
      </c>
    </row>
    <row r="18" spans="1:4" x14ac:dyDescent="0.3">
      <c r="A18" s="22">
        <v>77010000042</v>
      </c>
      <c r="B18" s="23" t="s">
        <v>2</v>
      </c>
      <c r="D18" s="22">
        <v>77010000017</v>
      </c>
    </row>
    <row r="19" spans="1:4" x14ac:dyDescent="0.3">
      <c r="A19" s="22">
        <v>77010000014</v>
      </c>
      <c r="B19" s="23" t="s">
        <v>0</v>
      </c>
      <c r="D19" s="22">
        <v>77010000040</v>
      </c>
    </row>
    <row r="20" spans="1:4" x14ac:dyDescent="0.3">
      <c r="A20" s="22">
        <v>77010000017</v>
      </c>
      <c r="B20" s="23" t="s">
        <v>0</v>
      </c>
      <c r="D20" s="22">
        <v>77010000056</v>
      </c>
    </row>
    <row r="21" spans="1:4" x14ac:dyDescent="0.3">
      <c r="A21" s="22">
        <v>77010000040</v>
      </c>
      <c r="B21" s="23" t="s">
        <v>0</v>
      </c>
      <c r="D21" s="22">
        <v>77010000061</v>
      </c>
    </row>
    <row r="22" spans="1:4" x14ac:dyDescent="0.3">
      <c r="A22" s="22">
        <v>77010000056</v>
      </c>
      <c r="B22" s="23" t="s">
        <v>0</v>
      </c>
      <c r="D22" s="22">
        <v>77010000078</v>
      </c>
    </row>
    <row r="23" spans="1:4" x14ac:dyDescent="0.3">
      <c r="A23" s="22">
        <v>77010000061</v>
      </c>
      <c r="B23" s="23" t="s">
        <v>0</v>
      </c>
      <c r="D23" s="22">
        <v>77010000005</v>
      </c>
    </row>
    <row r="24" spans="1:4" x14ac:dyDescent="0.3">
      <c r="A24" s="22">
        <v>77010000078</v>
      </c>
      <c r="B24" s="23" t="s">
        <v>0</v>
      </c>
      <c r="D24" s="22">
        <v>77010000006</v>
      </c>
    </row>
    <row r="25" spans="1:4" x14ac:dyDescent="0.3">
      <c r="A25" s="22">
        <v>77010000005</v>
      </c>
      <c r="B25" s="23" t="s">
        <v>0</v>
      </c>
      <c r="D25" s="22">
        <v>77010000058</v>
      </c>
    </row>
    <row r="26" spans="1:4" x14ac:dyDescent="0.3">
      <c r="A26" s="22">
        <v>77010000006</v>
      </c>
      <c r="B26" s="23" t="s">
        <v>0</v>
      </c>
      <c r="D26" s="22">
        <v>77010000070</v>
      </c>
    </row>
    <row r="27" spans="1:4" x14ac:dyDescent="0.3">
      <c r="A27" s="22">
        <v>77010000051</v>
      </c>
      <c r="B27" s="23" t="s">
        <v>1</v>
      </c>
      <c r="D27" s="22">
        <v>77010000064</v>
      </c>
    </row>
    <row r="28" spans="1:4" x14ac:dyDescent="0.3">
      <c r="A28" s="22">
        <v>77010000058</v>
      </c>
      <c r="B28" s="23" t="s">
        <v>0</v>
      </c>
      <c r="D28" s="22">
        <v>77010000086</v>
      </c>
    </row>
    <row r="29" spans="1:4" x14ac:dyDescent="0.3">
      <c r="A29" s="22">
        <v>77010000070</v>
      </c>
      <c r="B29" s="23" t="s">
        <v>0</v>
      </c>
      <c r="D29" s="22">
        <v>77010000092</v>
      </c>
    </row>
    <row r="30" spans="1:4" x14ac:dyDescent="0.3">
      <c r="A30" s="22">
        <v>77010000064</v>
      </c>
      <c r="B30" s="23" t="s">
        <v>0</v>
      </c>
      <c r="D30" s="22">
        <v>77010000095</v>
      </c>
    </row>
    <row r="31" spans="1:4" x14ac:dyDescent="0.3">
      <c r="A31" s="22">
        <v>77010000037</v>
      </c>
      <c r="B31" s="23" t="s">
        <v>2</v>
      </c>
      <c r="D31" s="22">
        <v>77010000009</v>
      </c>
    </row>
    <row r="32" spans="1:4" x14ac:dyDescent="0.3">
      <c r="A32" s="22">
        <v>77010000086</v>
      </c>
      <c r="B32" s="23" t="s">
        <v>0</v>
      </c>
      <c r="D32" s="22">
        <v>77010000010</v>
      </c>
    </row>
    <row r="33" spans="1:4" x14ac:dyDescent="0.3">
      <c r="A33" s="22">
        <v>77010000092</v>
      </c>
      <c r="B33" s="23" t="s">
        <v>0</v>
      </c>
      <c r="D33" s="22">
        <v>77010000016</v>
      </c>
    </row>
    <row r="34" spans="1:4" x14ac:dyDescent="0.3">
      <c r="A34" s="22">
        <v>77010000095</v>
      </c>
      <c r="B34" s="23" t="s">
        <v>0</v>
      </c>
      <c r="D34" s="22">
        <v>77010000081</v>
      </c>
    </row>
    <row r="35" spans="1:4" x14ac:dyDescent="0.3">
      <c r="A35" s="22">
        <v>77010000009</v>
      </c>
      <c r="B35" s="23" t="s">
        <v>0</v>
      </c>
      <c r="D35" s="22">
        <v>77010000067</v>
      </c>
    </row>
    <row r="36" spans="1:4" x14ac:dyDescent="0.3">
      <c r="A36" s="22">
        <v>77010000010</v>
      </c>
      <c r="B36" s="23" t="s">
        <v>0</v>
      </c>
      <c r="D36" s="22">
        <v>77010000075</v>
      </c>
    </row>
    <row r="37" spans="1:4" x14ac:dyDescent="0.3">
      <c r="A37" s="22">
        <v>77010000016</v>
      </c>
      <c r="B37" s="23" t="s">
        <v>0</v>
      </c>
      <c r="D37" s="22">
        <v>77010000088</v>
      </c>
    </row>
    <row r="38" spans="1:4" x14ac:dyDescent="0.3">
      <c r="A38" s="22">
        <v>77010000081</v>
      </c>
      <c r="B38" s="23" t="s">
        <v>0</v>
      </c>
      <c r="D38" s="22">
        <v>77010000002</v>
      </c>
    </row>
    <row r="39" spans="1:4" x14ac:dyDescent="0.3">
      <c r="A39" s="22">
        <v>77010000067</v>
      </c>
      <c r="B39" s="23" t="s">
        <v>0</v>
      </c>
      <c r="D39" s="22">
        <v>77010000049</v>
      </c>
    </row>
    <row r="40" spans="1:4" x14ac:dyDescent="0.3">
      <c r="A40" s="22">
        <v>77010000075</v>
      </c>
      <c r="B40" s="23" t="s">
        <v>0</v>
      </c>
      <c r="D40" s="22">
        <v>77010000079</v>
      </c>
    </row>
    <row r="41" spans="1:4" x14ac:dyDescent="0.3">
      <c r="A41" s="22">
        <v>77010000088</v>
      </c>
      <c r="B41" s="23" t="s">
        <v>0</v>
      </c>
      <c r="D41" s="22">
        <v>77010000048</v>
      </c>
    </row>
    <row r="42" spans="1:4" x14ac:dyDescent="0.3">
      <c r="A42" s="22">
        <v>77010000002</v>
      </c>
      <c r="B42" s="23" t="s">
        <v>0</v>
      </c>
      <c r="D42" s="22">
        <v>77010000057</v>
      </c>
    </row>
    <row r="43" spans="1:4" x14ac:dyDescent="0.3">
      <c r="A43" s="22">
        <v>77010000049</v>
      </c>
      <c r="B43" s="23" t="s">
        <v>0</v>
      </c>
      <c r="D43" s="22">
        <v>77010000007</v>
      </c>
    </row>
    <row r="44" spans="1:4" x14ac:dyDescent="0.3">
      <c r="A44" s="22">
        <v>77010000079</v>
      </c>
      <c r="B44" s="23" t="s">
        <v>0</v>
      </c>
      <c r="D44" s="22">
        <v>77010000089</v>
      </c>
    </row>
    <row r="45" spans="1:4" x14ac:dyDescent="0.3">
      <c r="A45" s="22">
        <v>77010000048</v>
      </c>
      <c r="B45" s="23" t="s">
        <v>0</v>
      </c>
      <c r="D45" s="22">
        <v>77010000093</v>
      </c>
    </row>
    <row r="46" spans="1:4" x14ac:dyDescent="0.3">
      <c r="A46" s="22">
        <v>77010000057</v>
      </c>
      <c r="B46" s="23" t="s">
        <v>0</v>
      </c>
      <c r="D46" s="22">
        <v>77010000018</v>
      </c>
    </row>
    <row r="47" spans="1:4" x14ac:dyDescent="0.3">
      <c r="A47" s="22">
        <v>77010000084</v>
      </c>
      <c r="B47" s="23" t="s">
        <v>1</v>
      </c>
      <c r="D47" s="22">
        <v>77010000085</v>
      </c>
    </row>
    <row r="48" spans="1:4" x14ac:dyDescent="0.3">
      <c r="A48" s="22">
        <v>77010000007</v>
      </c>
      <c r="B48" s="23" t="s">
        <v>0</v>
      </c>
      <c r="D48" s="22">
        <v>77010000033</v>
      </c>
    </row>
    <row r="49" spans="1:4" x14ac:dyDescent="0.3">
      <c r="A49" s="22">
        <v>77010000089</v>
      </c>
      <c r="B49" s="23" t="s">
        <v>0</v>
      </c>
      <c r="D49" s="22">
        <v>77010000073</v>
      </c>
    </row>
    <row r="50" spans="1:4" x14ac:dyDescent="0.3">
      <c r="A50" s="22">
        <v>77010000093</v>
      </c>
      <c r="B50" s="23" t="s">
        <v>0</v>
      </c>
      <c r="D50" s="22">
        <v>77010000031</v>
      </c>
    </row>
    <row r="51" spans="1:4" x14ac:dyDescent="0.3">
      <c r="A51" s="22">
        <v>77010000018</v>
      </c>
      <c r="B51" s="23" t="s">
        <v>0</v>
      </c>
      <c r="D51" s="22">
        <v>77010000042</v>
      </c>
    </row>
    <row r="52" spans="1:4" x14ac:dyDescent="0.3">
      <c r="A52" s="22">
        <v>77010000073</v>
      </c>
      <c r="B52" s="23" t="s">
        <v>2</v>
      </c>
      <c r="D52" s="22">
        <v>77010000050</v>
      </c>
    </row>
    <row r="53" spans="1:4" x14ac:dyDescent="0.3">
      <c r="A53" s="22">
        <v>77010000053</v>
      </c>
      <c r="B53" s="23" t="s">
        <v>3</v>
      </c>
      <c r="D53" s="22">
        <v>77010000055</v>
      </c>
    </row>
    <row r="54" spans="1:4" x14ac:dyDescent="0.3">
      <c r="A54" s="22">
        <v>77010000085</v>
      </c>
      <c r="B54" s="23" t="s">
        <v>0</v>
      </c>
      <c r="D54" s="22">
        <v>77010000090</v>
      </c>
    </row>
    <row r="55" spans="1:4" x14ac:dyDescent="0.3">
      <c r="A55" s="22">
        <v>77010000033</v>
      </c>
      <c r="B55" s="23" t="s">
        <v>0</v>
      </c>
      <c r="D55" s="22">
        <v>77010000076</v>
      </c>
    </row>
    <row r="56" spans="1:4" x14ac:dyDescent="0.3">
      <c r="A56" s="22">
        <v>77010000031</v>
      </c>
      <c r="B56" s="23" t="s">
        <v>0</v>
      </c>
      <c r="D56" s="22">
        <v>77010000035</v>
      </c>
    </row>
    <row r="57" spans="1:4" x14ac:dyDescent="0.3">
      <c r="A57" s="22">
        <v>77010000050</v>
      </c>
      <c r="B57" s="23" t="s">
        <v>0</v>
      </c>
      <c r="D57" s="22">
        <v>77010000023</v>
      </c>
    </row>
    <row r="58" spans="1:4" x14ac:dyDescent="0.3">
      <c r="A58" s="22">
        <v>77010000055</v>
      </c>
      <c r="B58" s="23" t="s">
        <v>0</v>
      </c>
      <c r="D58" s="22">
        <v>77010000039</v>
      </c>
    </row>
    <row r="59" spans="1:4" x14ac:dyDescent="0.3">
      <c r="A59" s="22">
        <v>77010000090</v>
      </c>
      <c r="B59" s="23" t="s">
        <v>0</v>
      </c>
      <c r="D59" s="22">
        <v>77010000069</v>
      </c>
    </row>
    <row r="60" spans="1:4" x14ac:dyDescent="0.3">
      <c r="A60" s="22">
        <v>77010000076</v>
      </c>
      <c r="B60" s="23" t="s">
        <v>0</v>
      </c>
      <c r="D60" s="22">
        <v>77010000047</v>
      </c>
    </row>
    <row r="61" spans="1:4" x14ac:dyDescent="0.3">
      <c r="A61" s="22">
        <v>77010000035</v>
      </c>
      <c r="B61" s="23" t="s">
        <v>0</v>
      </c>
      <c r="D61" s="22">
        <v>77010000043</v>
      </c>
    </row>
    <row r="62" spans="1:4" x14ac:dyDescent="0.3">
      <c r="A62" s="22">
        <v>77010000023</v>
      </c>
      <c r="B62" s="23" t="s">
        <v>0</v>
      </c>
      <c r="D62" s="22">
        <v>77010000013</v>
      </c>
    </row>
    <row r="63" spans="1:4" x14ac:dyDescent="0.3">
      <c r="A63" s="22">
        <v>77010000039</v>
      </c>
      <c r="B63" s="23" t="s">
        <v>0</v>
      </c>
      <c r="D63" s="22">
        <v>77010000036</v>
      </c>
    </row>
    <row r="64" spans="1:4" x14ac:dyDescent="0.3">
      <c r="A64" s="22">
        <v>77010000069</v>
      </c>
      <c r="B64" s="23" t="s">
        <v>0</v>
      </c>
      <c r="D64" s="22">
        <v>77010000074</v>
      </c>
    </row>
    <row r="65" spans="1:4" x14ac:dyDescent="0.3">
      <c r="A65" s="22">
        <v>77010000047</v>
      </c>
      <c r="B65" s="23" t="s">
        <v>0</v>
      </c>
      <c r="D65" s="22">
        <v>77010000059</v>
      </c>
    </row>
    <row r="66" spans="1:4" x14ac:dyDescent="0.3">
      <c r="A66" s="22">
        <v>77010000043</v>
      </c>
      <c r="B66" s="23" t="s">
        <v>0</v>
      </c>
      <c r="D66" s="22">
        <v>77010000077</v>
      </c>
    </row>
    <row r="67" spans="1:4" x14ac:dyDescent="0.3">
      <c r="A67" s="22">
        <v>77010000013</v>
      </c>
      <c r="B67" s="23" t="s">
        <v>0</v>
      </c>
      <c r="D67" s="22">
        <v>77010000083</v>
      </c>
    </row>
    <row r="68" spans="1:4" x14ac:dyDescent="0.3">
      <c r="A68" s="22">
        <v>77010000036</v>
      </c>
      <c r="B68" s="23" t="s">
        <v>0</v>
      </c>
      <c r="D68" s="22">
        <v>77010000011</v>
      </c>
    </row>
    <row r="69" spans="1:4" x14ac:dyDescent="0.3">
      <c r="A69" s="22">
        <v>77010000074</v>
      </c>
      <c r="B69" s="23" t="s">
        <v>0</v>
      </c>
      <c r="D69" s="22">
        <v>77010000032</v>
      </c>
    </row>
    <row r="70" spans="1:4" x14ac:dyDescent="0.3">
      <c r="A70" s="22">
        <v>77010000059</v>
      </c>
      <c r="B70" s="23" t="s">
        <v>0</v>
      </c>
      <c r="D70" s="22">
        <v>77010000053</v>
      </c>
    </row>
    <row r="71" spans="1:4" x14ac:dyDescent="0.3">
      <c r="A71" s="22">
        <v>77010000077</v>
      </c>
      <c r="B71" s="23" t="s">
        <v>0</v>
      </c>
      <c r="D71" s="22">
        <v>77010000063</v>
      </c>
    </row>
    <row r="72" spans="1:4" x14ac:dyDescent="0.3">
      <c r="A72" s="22">
        <v>77010000083</v>
      </c>
      <c r="B72" s="23" t="s">
        <v>0</v>
      </c>
      <c r="D72" s="22">
        <v>77010000022</v>
      </c>
    </row>
    <row r="73" spans="1:4" x14ac:dyDescent="0.3">
      <c r="A73" s="22">
        <v>77010000011</v>
      </c>
      <c r="B73" s="23" t="s">
        <v>0</v>
      </c>
      <c r="D73" s="22">
        <v>77010000037</v>
      </c>
    </row>
    <row r="74" spans="1:4" x14ac:dyDescent="0.3">
      <c r="A74" s="22">
        <v>77010000027</v>
      </c>
      <c r="B74" s="23" t="s">
        <v>1</v>
      </c>
      <c r="D74" s="22">
        <v>77010000034</v>
      </c>
    </row>
    <row r="75" spans="1:4" x14ac:dyDescent="0.3">
      <c r="A75" s="22">
        <v>77010000032</v>
      </c>
      <c r="B75" s="23" t="s">
        <v>0</v>
      </c>
      <c r="D75" s="22">
        <v>77010000051</v>
      </c>
    </row>
    <row r="76" spans="1:4" x14ac:dyDescent="0.3">
      <c r="A76" s="22">
        <v>77010000022</v>
      </c>
      <c r="B76" s="23" t="s">
        <v>0</v>
      </c>
      <c r="D76" s="22">
        <v>77010000080</v>
      </c>
    </row>
    <row r="77" spans="1:4" x14ac:dyDescent="0.3">
      <c r="A77" s="22">
        <v>77010000034</v>
      </c>
      <c r="B77" s="23" t="s">
        <v>0</v>
      </c>
      <c r="D77" s="22">
        <v>77010000041</v>
      </c>
    </row>
    <row r="78" spans="1:4" x14ac:dyDescent="0.3">
      <c r="A78" s="22">
        <v>77010000080</v>
      </c>
      <c r="B78" s="23" t="s">
        <v>0</v>
      </c>
      <c r="D78" s="22">
        <v>77010000044</v>
      </c>
    </row>
    <row r="79" spans="1:4" x14ac:dyDescent="0.3">
      <c r="A79" s="22">
        <v>77010000041</v>
      </c>
      <c r="B79" s="23" t="s">
        <v>0</v>
      </c>
      <c r="D79" s="22">
        <v>77010000091</v>
      </c>
    </row>
    <row r="80" spans="1:4" x14ac:dyDescent="0.3">
      <c r="A80" s="22">
        <v>77010000044</v>
      </c>
      <c r="B80" s="23" t="s">
        <v>0</v>
      </c>
      <c r="D80" s="22">
        <v>77010000026</v>
      </c>
    </row>
    <row r="81" spans="1:4" x14ac:dyDescent="0.3">
      <c r="A81" s="22">
        <v>77010000091</v>
      </c>
      <c r="B81" s="23" t="s">
        <v>0</v>
      </c>
      <c r="D81" s="22">
        <v>77010000038</v>
      </c>
    </row>
    <row r="82" spans="1:4" x14ac:dyDescent="0.3">
      <c r="A82" s="22">
        <v>77010000021</v>
      </c>
      <c r="B82" s="23" t="s">
        <v>1</v>
      </c>
      <c r="D82" s="22">
        <v>77010000020</v>
      </c>
    </row>
    <row r="83" spans="1:4" x14ac:dyDescent="0.3">
      <c r="A83" s="22">
        <v>77010000026</v>
      </c>
      <c r="B83" s="23" t="s">
        <v>0</v>
      </c>
      <c r="D83" s="22">
        <v>77010000025</v>
      </c>
    </row>
    <row r="84" spans="1:4" x14ac:dyDescent="0.3">
      <c r="A84" s="22">
        <v>77010000029</v>
      </c>
      <c r="B84" s="23" t="s">
        <v>1</v>
      </c>
      <c r="D84" s="22">
        <v>77010000012</v>
      </c>
    </row>
    <row r="85" spans="1:4" x14ac:dyDescent="0.3">
      <c r="A85" s="22">
        <v>77010000038</v>
      </c>
      <c r="B85" s="23" t="s">
        <v>0</v>
      </c>
      <c r="D85" s="22">
        <v>77010000024</v>
      </c>
    </row>
    <row r="86" spans="1:4" x14ac:dyDescent="0.3">
      <c r="A86" s="22">
        <v>77010000020</v>
      </c>
      <c r="B86" s="23" t="s">
        <v>0</v>
      </c>
      <c r="D86" s="22">
        <v>77010000087</v>
      </c>
    </row>
    <row r="87" spans="1:4" x14ac:dyDescent="0.3">
      <c r="A87" s="22">
        <v>77010000025</v>
      </c>
      <c r="B87" s="23" t="s">
        <v>0</v>
      </c>
      <c r="D87" s="22">
        <v>77010000096</v>
      </c>
    </row>
    <row r="88" spans="1:4" x14ac:dyDescent="0.3">
      <c r="A88" s="22">
        <v>77010000012</v>
      </c>
      <c r="B88" s="23" t="s">
        <v>0</v>
      </c>
      <c r="D88" s="22">
        <v>77010000029</v>
      </c>
    </row>
    <row r="89" spans="1:4" x14ac:dyDescent="0.3">
      <c r="A89" s="22">
        <v>77010000024</v>
      </c>
      <c r="B89" s="23" t="s">
        <v>0</v>
      </c>
      <c r="D89" s="22">
        <v>77010000021</v>
      </c>
    </row>
    <row r="90" spans="1:4" x14ac:dyDescent="0.3">
      <c r="A90" s="22">
        <v>77010000087</v>
      </c>
      <c r="B90" s="23" t="s">
        <v>0</v>
      </c>
      <c r="D90" s="22">
        <v>77010000072</v>
      </c>
    </row>
    <row r="91" spans="1:4" x14ac:dyDescent="0.3">
      <c r="A91" s="22">
        <v>77010000096</v>
      </c>
      <c r="B91" s="23" t="s">
        <v>0</v>
      </c>
      <c r="D91" s="22">
        <v>77010000071</v>
      </c>
    </row>
    <row r="92" spans="1:4" x14ac:dyDescent="0.3">
      <c r="A92" s="22">
        <v>77010000072</v>
      </c>
      <c r="B92" s="23" t="s">
        <v>0</v>
      </c>
      <c r="D92" s="22">
        <v>77010000028</v>
      </c>
    </row>
    <row r="93" spans="1:4" x14ac:dyDescent="0.3">
      <c r="A93" s="22">
        <v>77010000071</v>
      </c>
      <c r="B93" s="23" t="s">
        <v>0</v>
      </c>
      <c r="D93" s="22">
        <v>77010000027</v>
      </c>
    </row>
    <row r="94" spans="1:4" x14ac:dyDescent="0.3">
      <c r="A94" s="22">
        <v>77010000028</v>
      </c>
      <c r="B94" s="23" t="s">
        <v>0</v>
      </c>
      <c r="D94" s="22">
        <v>77010000084</v>
      </c>
    </row>
    <row r="95" spans="1:4" x14ac:dyDescent="0.3">
      <c r="A95" s="22">
        <v>77010000030</v>
      </c>
      <c r="B95" s="23" t="s">
        <v>1</v>
      </c>
      <c r="D95" s="22">
        <v>77010000019</v>
      </c>
    </row>
    <row r="96" spans="1:4" x14ac:dyDescent="0.3">
      <c r="A96" s="22">
        <v>77010000019</v>
      </c>
      <c r="B96" s="23" t="s">
        <v>0</v>
      </c>
      <c r="D96" s="22">
        <v>77010000015</v>
      </c>
    </row>
    <row r="97" spans="1:4" x14ac:dyDescent="0.3">
      <c r="A97" s="22">
        <v>77010000015</v>
      </c>
      <c r="B97" s="23" t="s">
        <v>0</v>
      </c>
      <c r="D97" s="22">
        <v>77010000030</v>
      </c>
    </row>
    <row r="98" spans="1:4" x14ac:dyDescent="0.3">
      <c r="A98" s="22">
        <v>77010000112</v>
      </c>
      <c r="B98" s="23" t="s">
        <v>0</v>
      </c>
      <c r="D98" s="22">
        <v>77010000112</v>
      </c>
    </row>
    <row r="99" spans="1:4" x14ac:dyDescent="0.3">
      <c r="A99" s="22">
        <v>77010000114</v>
      </c>
      <c r="B99" s="23" t="s">
        <v>0</v>
      </c>
      <c r="D99" s="22">
        <v>77010000114</v>
      </c>
    </row>
    <row r="100" spans="1:4" x14ac:dyDescent="0.3">
      <c r="A100" s="22">
        <v>77010000118</v>
      </c>
      <c r="B100" s="23" t="s">
        <v>0</v>
      </c>
      <c r="D100" s="22">
        <v>77010000118</v>
      </c>
    </row>
    <row r="101" spans="1:4" x14ac:dyDescent="0.3">
      <c r="A101" s="22">
        <v>77010000120</v>
      </c>
      <c r="B101" s="23" t="s">
        <v>0</v>
      </c>
      <c r="D101" s="22">
        <v>77010000120</v>
      </c>
    </row>
    <row r="102" spans="1:4" x14ac:dyDescent="0.3">
      <c r="A102" s="22">
        <v>77010000115</v>
      </c>
      <c r="B102" s="23" t="s">
        <v>0</v>
      </c>
      <c r="D102" s="22">
        <v>77010000115</v>
      </c>
    </row>
    <row r="103" spans="1:4" x14ac:dyDescent="0.3">
      <c r="A103" s="22">
        <v>77010000121</v>
      </c>
      <c r="B103" s="23" t="s">
        <v>0</v>
      </c>
      <c r="D103" s="22">
        <v>77010000121</v>
      </c>
    </row>
    <row r="104" spans="1:4" x14ac:dyDescent="0.3">
      <c r="A104" s="22">
        <v>77010000125</v>
      </c>
      <c r="B104" s="23" t="s">
        <v>0</v>
      </c>
      <c r="D104" s="22">
        <v>77010000125</v>
      </c>
    </row>
    <row r="105" spans="1:4" x14ac:dyDescent="0.3">
      <c r="A105" s="22">
        <v>77010000103</v>
      </c>
      <c r="B105" s="23" t="s">
        <v>0</v>
      </c>
      <c r="D105" s="22">
        <v>77010000103</v>
      </c>
    </row>
    <row r="106" spans="1:4" x14ac:dyDescent="0.3">
      <c r="A106" s="22">
        <v>77010000110</v>
      </c>
      <c r="B106" s="23" t="s">
        <v>0</v>
      </c>
      <c r="D106" s="22">
        <v>77010000110</v>
      </c>
    </row>
    <row r="107" spans="1:4" x14ac:dyDescent="0.3">
      <c r="A107" s="22">
        <v>77010000128</v>
      </c>
      <c r="B107" s="23" t="s">
        <v>0</v>
      </c>
      <c r="D107" s="22">
        <v>77010000128</v>
      </c>
    </row>
    <row r="108" spans="1:4" x14ac:dyDescent="0.3">
      <c r="A108" s="22">
        <v>77010000126</v>
      </c>
      <c r="B108" s="23" t="s">
        <v>0</v>
      </c>
      <c r="D108" s="22">
        <v>77010000126</v>
      </c>
    </row>
    <row r="109" spans="1:4" x14ac:dyDescent="0.3">
      <c r="A109" s="22">
        <v>77010000127</v>
      </c>
      <c r="B109" s="23" t="s">
        <v>1</v>
      </c>
      <c r="D109" s="22">
        <v>77010000100</v>
      </c>
    </row>
    <row r="110" spans="1:4" x14ac:dyDescent="0.3">
      <c r="A110" s="22">
        <v>77010000100</v>
      </c>
      <c r="B110" s="23" t="s">
        <v>0</v>
      </c>
      <c r="D110" s="22">
        <v>77010000102</v>
      </c>
    </row>
    <row r="111" spans="1:4" x14ac:dyDescent="0.3">
      <c r="A111" s="22">
        <v>77010000102</v>
      </c>
      <c r="B111" s="23" t="s">
        <v>0</v>
      </c>
      <c r="D111" s="22">
        <v>77010000124</v>
      </c>
    </row>
    <row r="112" spans="1:4" x14ac:dyDescent="0.3">
      <c r="A112" s="22">
        <v>77010000124</v>
      </c>
      <c r="B112" s="23" t="s">
        <v>0</v>
      </c>
      <c r="D112" s="22">
        <v>77010000111</v>
      </c>
    </row>
    <row r="113" spans="1:4" x14ac:dyDescent="0.3">
      <c r="A113" s="22">
        <v>77010000111</v>
      </c>
      <c r="B113" s="23" t="s">
        <v>0</v>
      </c>
      <c r="D113" s="22">
        <v>77010000129</v>
      </c>
    </row>
    <row r="114" spans="1:4" x14ac:dyDescent="0.3">
      <c r="A114" s="22">
        <v>77010000129</v>
      </c>
      <c r="B114" s="23" t="s">
        <v>0</v>
      </c>
      <c r="D114" s="22">
        <v>77010000098</v>
      </c>
    </row>
    <row r="115" spans="1:4" x14ac:dyDescent="0.3">
      <c r="A115" s="22">
        <v>77010000098</v>
      </c>
      <c r="B115" s="23" t="s">
        <v>0</v>
      </c>
      <c r="D115" s="22">
        <v>77010000104</v>
      </c>
    </row>
    <row r="116" spans="1:4" x14ac:dyDescent="0.3">
      <c r="A116" s="22">
        <v>77010000104</v>
      </c>
      <c r="B116" s="23" t="s">
        <v>0</v>
      </c>
      <c r="D116" s="22">
        <v>77010000106</v>
      </c>
    </row>
    <row r="117" spans="1:4" x14ac:dyDescent="0.3">
      <c r="A117" s="22">
        <v>77010000106</v>
      </c>
      <c r="B117" s="23" t="s">
        <v>0</v>
      </c>
      <c r="D117" s="22">
        <v>77010000107</v>
      </c>
    </row>
    <row r="118" spans="1:4" x14ac:dyDescent="0.3">
      <c r="A118" s="22">
        <v>77010000107</v>
      </c>
      <c r="B118" s="23" t="s">
        <v>0</v>
      </c>
      <c r="D118" s="22">
        <v>77010000105</v>
      </c>
    </row>
    <row r="119" spans="1:4" x14ac:dyDescent="0.3">
      <c r="A119" s="22">
        <v>77010000105</v>
      </c>
      <c r="B119" s="23" t="s">
        <v>0</v>
      </c>
      <c r="D119" s="22">
        <v>77010000117</v>
      </c>
    </row>
    <row r="120" spans="1:4" x14ac:dyDescent="0.3">
      <c r="A120" s="22">
        <v>77010000117</v>
      </c>
      <c r="B120" s="23" t="s">
        <v>0</v>
      </c>
      <c r="D120" s="22">
        <v>77010000123</v>
      </c>
    </row>
    <row r="121" spans="1:4" x14ac:dyDescent="0.3">
      <c r="A121" s="22">
        <v>77010000123</v>
      </c>
      <c r="B121" s="23" t="s">
        <v>0</v>
      </c>
      <c r="D121" s="22">
        <v>77010000113</v>
      </c>
    </row>
    <row r="122" spans="1:4" x14ac:dyDescent="0.3">
      <c r="A122" s="22">
        <v>77010000113</v>
      </c>
      <c r="B122" s="23" t="s">
        <v>0</v>
      </c>
      <c r="D122" s="22">
        <v>77010000119</v>
      </c>
    </row>
    <row r="123" spans="1:4" x14ac:dyDescent="0.3">
      <c r="A123" s="22">
        <v>77010000119</v>
      </c>
      <c r="B123" s="23" t="s">
        <v>0</v>
      </c>
      <c r="D123" s="22">
        <v>77010000116</v>
      </c>
    </row>
    <row r="124" spans="1:4" x14ac:dyDescent="0.3">
      <c r="A124" s="22">
        <v>77010000116</v>
      </c>
      <c r="B124" s="23" t="s">
        <v>0</v>
      </c>
      <c r="D124" s="22">
        <v>77010000122</v>
      </c>
    </row>
    <row r="125" spans="1:4" x14ac:dyDescent="0.3">
      <c r="A125" s="22">
        <v>77010000122</v>
      </c>
      <c r="B125" s="23" t="s">
        <v>0</v>
      </c>
      <c r="D125" s="22">
        <v>77010000109</v>
      </c>
    </row>
    <row r="126" spans="1:4" x14ac:dyDescent="0.3">
      <c r="A126" s="22">
        <v>77010000109</v>
      </c>
      <c r="B126" s="23" t="s">
        <v>0</v>
      </c>
      <c r="D126" s="22">
        <v>77010000108</v>
      </c>
    </row>
    <row r="127" spans="1:4" x14ac:dyDescent="0.3">
      <c r="A127" s="22">
        <v>77010000108</v>
      </c>
      <c r="B127" s="23" t="s">
        <v>0</v>
      </c>
      <c r="D127" s="22">
        <v>77010000101</v>
      </c>
    </row>
    <row r="128" spans="1:4" x14ac:dyDescent="0.3">
      <c r="A128" s="22">
        <v>77010000101</v>
      </c>
      <c r="B128" s="23" t="s">
        <v>0</v>
      </c>
      <c r="D128" s="22">
        <v>77010000099</v>
      </c>
    </row>
    <row r="129" spans="1:4" x14ac:dyDescent="0.3">
      <c r="A129" s="22">
        <v>77010000099</v>
      </c>
      <c r="B129" s="23" t="s">
        <v>0</v>
      </c>
      <c r="D129" s="22">
        <v>77010000138</v>
      </c>
    </row>
    <row r="130" spans="1:4" x14ac:dyDescent="0.3">
      <c r="A130" s="22">
        <v>77010000138</v>
      </c>
      <c r="B130" s="23" t="s">
        <v>0</v>
      </c>
      <c r="D130" s="22">
        <v>77010000135</v>
      </c>
    </row>
    <row r="131" spans="1:4" x14ac:dyDescent="0.3">
      <c r="A131" s="22">
        <v>77010000135</v>
      </c>
      <c r="B131" s="23" t="s">
        <v>0</v>
      </c>
      <c r="D131" s="22">
        <v>77010000134</v>
      </c>
    </row>
    <row r="132" spans="1:4" x14ac:dyDescent="0.3">
      <c r="A132" s="22">
        <v>77010000134</v>
      </c>
      <c r="B132" s="23" t="s">
        <v>0</v>
      </c>
      <c r="D132" s="22">
        <v>77010000130</v>
      </c>
    </row>
    <row r="133" spans="1:4" x14ac:dyDescent="0.3">
      <c r="A133" s="22">
        <v>77010000130</v>
      </c>
      <c r="B133" s="23" t="s">
        <v>0</v>
      </c>
      <c r="D133" s="22">
        <v>77010000131</v>
      </c>
    </row>
    <row r="134" spans="1:4" x14ac:dyDescent="0.3">
      <c r="A134" s="22">
        <v>77010000131</v>
      </c>
      <c r="B134" s="23" t="s">
        <v>0</v>
      </c>
      <c r="D134" s="22">
        <v>77010000145</v>
      </c>
    </row>
    <row r="135" spans="1:4" x14ac:dyDescent="0.3">
      <c r="A135" s="22">
        <v>77010000145</v>
      </c>
      <c r="B135" s="23" t="s">
        <v>0</v>
      </c>
      <c r="D135" s="22">
        <v>77010000137</v>
      </c>
    </row>
    <row r="136" spans="1:4" x14ac:dyDescent="0.3">
      <c r="A136" s="22">
        <v>77010000137</v>
      </c>
      <c r="B136" s="23" t="s">
        <v>0</v>
      </c>
      <c r="D136" s="22">
        <v>77010000132</v>
      </c>
    </row>
    <row r="137" spans="1:4" x14ac:dyDescent="0.3">
      <c r="A137" s="22">
        <v>77010000132</v>
      </c>
      <c r="B137" s="23" t="s">
        <v>0</v>
      </c>
      <c r="D137" s="22">
        <v>77010000139</v>
      </c>
    </row>
    <row r="138" spans="1:4" x14ac:dyDescent="0.3">
      <c r="A138" s="22">
        <v>77010000139</v>
      </c>
      <c r="B138" s="23" t="s">
        <v>0</v>
      </c>
      <c r="D138" s="22">
        <v>77010000136</v>
      </c>
    </row>
    <row r="139" spans="1:4" x14ac:dyDescent="0.3">
      <c r="A139" s="22">
        <v>77010000136</v>
      </c>
      <c r="B139" s="23" t="s">
        <v>0</v>
      </c>
      <c r="D139" s="22">
        <v>77010000144</v>
      </c>
    </row>
    <row r="140" spans="1:4" x14ac:dyDescent="0.3">
      <c r="A140" s="22">
        <v>77010000144</v>
      </c>
      <c r="B140" s="23" t="s">
        <v>0</v>
      </c>
      <c r="D140" s="22">
        <v>77010000143</v>
      </c>
    </row>
    <row r="141" spans="1:4" x14ac:dyDescent="0.3">
      <c r="A141" s="22">
        <v>77010000143</v>
      </c>
      <c r="B141" s="23" t="s">
        <v>0</v>
      </c>
      <c r="D141" s="22">
        <v>77010000141</v>
      </c>
    </row>
    <row r="142" spans="1:4" x14ac:dyDescent="0.3">
      <c r="A142" s="22">
        <v>77010000141</v>
      </c>
      <c r="B142" s="23" t="s">
        <v>0</v>
      </c>
      <c r="D142" s="22">
        <v>77010000133</v>
      </c>
    </row>
    <row r="143" spans="1:4" x14ac:dyDescent="0.3">
      <c r="A143" s="22">
        <v>77010000133</v>
      </c>
      <c r="B143" s="23" t="s">
        <v>0</v>
      </c>
      <c r="D143" s="22">
        <v>77010000146</v>
      </c>
    </row>
    <row r="144" spans="1:4" x14ac:dyDescent="0.3">
      <c r="A144" s="22">
        <v>77010000146</v>
      </c>
      <c r="B144" s="23" t="s">
        <v>0</v>
      </c>
      <c r="D144" s="22">
        <v>77010000140</v>
      </c>
    </row>
    <row r="145" spans="1:4" x14ac:dyDescent="0.3">
      <c r="A145" s="22">
        <v>77010000140</v>
      </c>
      <c r="B145" s="23" t="s">
        <v>0</v>
      </c>
      <c r="D145" s="22">
        <v>77010000142</v>
      </c>
    </row>
    <row r="146" spans="1:4" x14ac:dyDescent="0.3">
      <c r="A146" s="22">
        <v>77010000142</v>
      </c>
      <c r="B146" s="23" t="s">
        <v>0</v>
      </c>
      <c r="D146" s="22">
        <v>77010000150</v>
      </c>
    </row>
    <row r="147" spans="1:4" x14ac:dyDescent="0.3">
      <c r="A147" s="22">
        <v>77010000150</v>
      </c>
      <c r="B147" s="23" t="s">
        <v>0</v>
      </c>
      <c r="D147" s="22">
        <v>77010000148</v>
      </c>
    </row>
    <row r="148" spans="1:4" x14ac:dyDescent="0.3">
      <c r="A148" s="22">
        <v>77010000148</v>
      </c>
      <c r="B148" s="23" t="s">
        <v>0</v>
      </c>
      <c r="D148" s="22">
        <v>77010000147</v>
      </c>
    </row>
    <row r="149" spans="1:4" x14ac:dyDescent="0.3">
      <c r="A149" s="22">
        <v>77010000147</v>
      </c>
      <c r="B149" s="23" t="s">
        <v>0</v>
      </c>
      <c r="D149" s="22">
        <v>77010000149</v>
      </c>
    </row>
    <row r="150" spans="1:4" x14ac:dyDescent="0.3">
      <c r="A150" s="22">
        <v>77010000149</v>
      </c>
      <c r="B150" s="23" t="s">
        <v>0</v>
      </c>
      <c r="D150" s="22">
        <v>77010000151</v>
      </c>
    </row>
    <row r="151" spans="1:4" x14ac:dyDescent="0.3">
      <c r="A151" s="22">
        <v>77010000151</v>
      </c>
      <c r="B151" s="23" t="s">
        <v>0</v>
      </c>
      <c r="D151" s="22">
        <v>77010000152</v>
      </c>
    </row>
    <row r="152" spans="1:4" x14ac:dyDescent="0.3">
      <c r="A152" s="22">
        <v>77010000152</v>
      </c>
      <c r="B152" s="23" t="s">
        <v>0</v>
      </c>
      <c r="D152" s="22">
        <v>77010000154</v>
      </c>
    </row>
    <row r="153" spans="1:4" x14ac:dyDescent="0.3">
      <c r="A153" s="22">
        <v>77010000154</v>
      </c>
      <c r="B153" s="23" t="s">
        <v>0</v>
      </c>
      <c r="D153" s="22">
        <v>77010000153</v>
      </c>
    </row>
    <row r="154" spans="1:4" x14ac:dyDescent="0.3">
      <c r="A154" s="22">
        <v>77010000153</v>
      </c>
      <c r="B154" s="23" t="s">
        <v>0</v>
      </c>
      <c r="D154" s="22">
        <v>77010000174</v>
      </c>
    </row>
    <row r="155" spans="1:4" x14ac:dyDescent="0.3">
      <c r="A155" s="22">
        <v>77010000174</v>
      </c>
      <c r="B155" s="23" t="s">
        <v>0</v>
      </c>
      <c r="D155" s="22">
        <v>77010000181</v>
      </c>
    </row>
    <row r="156" spans="1:4" x14ac:dyDescent="0.3">
      <c r="A156" s="22">
        <v>77010000181</v>
      </c>
      <c r="B156" s="23" t="s">
        <v>0</v>
      </c>
      <c r="D156" s="22">
        <v>77010000162</v>
      </c>
    </row>
    <row r="157" spans="1:4" x14ac:dyDescent="0.3">
      <c r="A157" s="22">
        <v>77010000162</v>
      </c>
      <c r="B157" s="23" t="s">
        <v>0</v>
      </c>
      <c r="D157" s="22">
        <v>77010000165</v>
      </c>
    </row>
    <row r="158" spans="1:4" x14ac:dyDescent="0.3">
      <c r="A158" s="22">
        <v>77010000165</v>
      </c>
      <c r="B158" s="23" t="s">
        <v>0</v>
      </c>
      <c r="D158" s="22">
        <v>77010000170</v>
      </c>
    </row>
    <row r="159" spans="1:4" x14ac:dyDescent="0.3">
      <c r="A159" s="22">
        <v>77010000166</v>
      </c>
      <c r="B159" s="23" t="s">
        <v>1</v>
      </c>
      <c r="D159" s="22">
        <v>77010000175</v>
      </c>
    </row>
    <row r="160" spans="1:4" x14ac:dyDescent="0.3">
      <c r="A160" s="22">
        <v>77010000170</v>
      </c>
      <c r="B160" s="23" t="s">
        <v>0</v>
      </c>
      <c r="D160" s="22">
        <v>77010000182</v>
      </c>
    </row>
    <row r="161" spans="1:4" x14ac:dyDescent="0.3">
      <c r="A161" s="22">
        <v>77010000175</v>
      </c>
      <c r="B161" s="23" t="s">
        <v>0</v>
      </c>
      <c r="D161" s="22">
        <v>77010000187</v>
      </c>
    </row>
    <row r="162" spans="1:4" x14ac:dyDescent="0.3">
      <c r="A162" s="22">
        <v>77010000182</v>
      </c>
      <c r="B162" s="23" t="s">
        <v>0</v>
      </c>
      <c r="D162" s="22">
        <v>77010000193</v>
      </c>
    </row>
    <row r="163" spans="1:4" x14ac:dyDescent="0.3">
      <c r="A163" s="22">
        <v>77010000187</v>
      </c>
      <c r="B163" s="23" t="s">
        <v>0</v>
      </c>
      <c r="D163" s="22">
        <v>77010000195</v>
      </c>
    </row>
    <row r="164" spans="1:4" x14ac:dyDescent="0.3">
      <c r="A164" s="22">
        <v>77010000193</v>
      </c>
      <c r="B164" s="23" t="s">
        <v>0</v>
      </c>
      <c r="D164" s="22">
        <v>77010000198</v>
      </c>
    </row>
    <row r="165" spans="1:4" x14ac:dyDescent="0.3">
      <c r="A165" s="22">
        <v>77010000195</v>
      </c>
      <c r="B165" s="23" t="s">
        <v>0</v>
      </c>
      <c r="D165" s="22">
        <v>77010000171</v>
      </c>
    </row>
    <row r="166" spans="1:4" x14ac:dyDescent="0.3">
      <c r="A166" s="22">
        <v>77010000198</v>
      </c>
      <c r="B166" s="23" t="s">
        <v>0</v>
      </c>
      <c r="D166" s="22">
        <v>77010000173</v>
      </c>
    </row>
    <row r="167" spans="1:4" x14ac:dyDescent="0.3">
      <c r="A167" s="22">
        <v>77010000171</v>
      </c>
      <c r="B167" s="23" t="s">
        <v>0</v>
      </c>
      <c r="D167" s="22">
        <v>77010000185</v>
      </c>
    </row>
    <row r="168" spans="1:4" x14ac:dyDescent="0.3">
      <c r="A168" s="22">
        <v>77010000173</v>
      </c>
      <c r="B168" s="23" t="s">
        <v>0</v>
      </c>
      <c r="D168" s="22">
        <v>77010000205</v>
      </c>
    </row>
    <row r="169" spans="1:4" x14ac:dyDescent="0.3">
      <c r="A169" s="22">
        <v>77010000185</v>
      </c>
      <c r="B169" s="23" t="s">
        <v>0</v>
      </c>
      <c r="D169" s="22">
        <v>77010000192</v>
      </c>
    </row>
    <row r="170" spans="1:4" x14ac:dyDescent="0.3">
      <c r="A170" s="22">
        <v>77010000205</v>
      </c>
      <c r="B170" s="23" t="s">
        <v>0</v>
      </c>
      <c r="D170" s="22">
        <v>77010000224</v>
      </c>
    </row>
    <row r="171" spans="1:4" x14ac:dyDescent="0.3">
      <c r="A171" s="22">
        <v>77010000192</v>
      </c>
      <c r="B171" s="23" t="s">
        <v>0</v>
      </c>
      <c r="D171" s="22">
        <v>77010000227</v>
      </c>
    </row>
    <row r="172" spans="1:4" x14ac:dyDescent="0.3">
      <c r="A172" s="22">
        <v>77010000224</v>
      </c>
      <c r="B172" s="23" t="s">
        <v>0</v>
      </c>
      <c r="D172" s="22">
        <v>77010000209</v>
      </c>
    </row>
    <row r="173" spans="1:4" x14ac:dyDescent="0.3">
      <c r="A173" s="22">
        <v>77010000227</v>
      </c>
      <c r="B173" s="23" t="s">
        <v>0</v>
      </c>
      <c r="D173" s="22">
        <v>77010000216</v>
      </c>
    </row>
    <row r="174" spans="1:4" x14ac:dyDescent="0.3">
      <c r="A174" s="22">
        <v>77010000209</v>
      </c>
      <c r="B174" s="23" t="s">
        <v>0</v>
      </c>
      <c r="D174" s="22">
        <v>77010000236</v>
      </c>
    </row>
    <row r="175" spans="1:4" x14ac:dyDescent="0.3">
      <c r="A175" s="22">
        <v>77010000216</v>
      </c>
      <c r="B175" s="23" t="s">
        <v>0</v>
      </c>
      <c r="D175" s="22">
        <v>77010000235</v>
      </c>
    </row>
    <row r="176" spans="1:4" x14ac:dyDescent="0.3">
      <c r="A176" s="22">
        <v>77010000236</v>
      </c>
      <c r="B176" s="23" t="s">
        <v>0</v>
      </c>
      <c r="D176" s="22">
        <v>77010000177</v>
      </c>
    </row>
    <row r="177" spans="1:4" x14ac:dyDescent="0.3">
      <c r="A177" s="22">
        <v>77010000235</v>
      </c>
      <c r="B177" s="23" t="s">
        <v>0</v>
      </c>
      <c r="D177" s="22">
        <v>77010000186</v>
      </c>
    </row>
    <row r="178" spans="1:4" x14ac:dyDescent="0.3">
      <c r="A178" s="22">
        <v>77010000163</v>
      </c>
      <c r="B178" s="23" t="s">
        <v>2</v>
      </c>
      <c r="D178" s="22">
        <v>77010000189</v>
      </c>
    </row>
    <row r="179" spans="1:4" x14ac:dyDescent="0.3">
      <c r="A179" s="22">
        <v>77010000177</v>
      </c>
      <c r="B179" s="23" t="s">
        <v>0</v>
      </c>
      <c r="D179" s="22">
        <v>77010000237</v>
      </c>
    </row>
    <row r="180" spans="1:4" x14ac:dyDescent="0.3">
      <c r="A180" s="22">
        <v>77010000186</v>
      </c>
      <c r="B180" s="23" t="s">
        <v>0</v>
      </c>
      <c r="D180" s="22">
        <v>77010000168</v>
      </c>
    </row>
    <row r="181" spans="1:4" x14ac:dyDescent="0.3">
      <c r="A181" s="22">
        <v>77010000189</v>
      </c>
      <c r="B181" s="23" t="s">
        <v>0</v>
      </c>
      <c r="D181" s="22">
        <v>77010000199</v>
      </c>
    </row>
    <row r="182" spans="1:4" x14ac:dyDescent="0.3">
      <c r="A182" s="22">
        <v>77010000237</v>
      </c>
      <c r="B182" s="23" t="s">
        <v>0</v>
      </c>
      <c r="D182" s="22">
        <v>77010000223</v>
      </c>
    </row>
    <row r="183" spans="1:4" x14ac:dyDescent="0.3">
      <c r="A183" s="22">
        <v>77010000168</v>
      </c>
      <c r="B183" s="23" t="s">
        <v>0</v>
      </c>
      <c r="D183" s="22">
        <v>77010000234</v>
      </c>
    </row>
    <row r="184" spans="1:4" x14ac:dyDescent="0.3">
      <c r="A184" s="22">
        <v>77010000199</v>
      </c>
      <c r="B184" s="23" t="s">
        <v>0</v>
      </c>
      <c r="D184" s="22">
        <v>77010000164</v>
      </c>
    </row>
    <row r="185" spans="1:4" x14ac:dyDescent="0.3">
      <c r="A185" s="22">
        <v>77010000223</v>
      </c>
      <c r="B185" s="23" t="s">
        <v>0</v>
      </c>
      <c r="D185" s="22">
        <v>77010000169</v>
      </c>
    </row>
    <row r="186" spans="1:4" x14ac:dyDescent="0.3">
      <c r="A186" s="22">
        <v>77010000234</v>
      </c>
      <c r="B186" s="23" t="s">
        <v>0</v>
      </c>
      <c r="D186" s="22">
        <v>77010000172</v>
      </c>
    </row>
    <row r="187" spans="1:4" x14ac:dyDescent="0.3">
      <c r="A187" s="22">
        <v>77010000164</v>
      </c>
      <c r="B187" s="23" t="s">
        <v>0</v>
      </c>
      <c r="D187" s="22">
        <v>77010000180</v>
      </c>
    </row>
    <row r="188" spans="1:4" x14ac:dyDescent="0.3">
      <c r="A188" s="22">
        <v>77010000169</v>
      </c>
      <c r="B188" s="23" t="s">
        <v>0</v>
      </c>
      <c r="D188" s="22">
        <v>77010000196</v>
      </c>
    </row>
    <row r="189" spans="1:4" x14ac:dyDescent="0.3">
      <c r="A189" s="22">
        <v>77010000172</v>
      </c>
      <c r="B189" s="23" t="s">
        <v>0</v>
      </c>
      <c r="D189" s="22">
        <v>77010000167</v>
      </c>
    </row>
    <row r="190" spans="1:4" x14ac:dyDescent="0.3">
      <c r="A190" s="22">
        <v>77010000180</v>
      </c>
      <c r="B190" s="23" t="s">
        <v>0</v>
      </c>
      <c r="D190" s="22">
        <v>77010000200</v>
      </c>
    </row>
    <row r="191" spans="1:4" x14ac:dyDescent="0.3">
      <c r="A191" s="22">
        <v>77010000191</v>
      </c>
      <c r="B191" s="23" t="s">
        <v>1</v>
      </c>
      <c r="D191" s="22">
        <v>77010000184</v>
      </c>
    </row>
    <row r="192" spans="1:4" x14ac:dyDescent="0.3">
      <c r="A192" s="22">
        <v>77010000196</v>
      </c>
      <c r="B192" s="23" t="s">
        <v>0</v>
      </c>
      <c r="D192" s="22">
        <v>77010000212</v>
      </c>
    </row>
    <row r="193" spans="1:4" x14ac:dyDescent="0.3">
      <c r="A193" s="22">
        <v>77010000167</v>
      </c>
      <c r="B193" s="23" t="s">
        <v>0</v>
      </c>
      <c r="D193" s="22">
        <v>77010000163</v>
      </c>
    </row>
    <row r="194" spans="1:4" x14ac:dyDescent="0.3">
      <c r="A194" s="22">
        <v>77010000200</v>
      </c>
      <c r="B194" s="23" t="s">
        <v>0</v>
      </c>
      <c r="D194" s="22">
        <v>77010000183</v>
      </c>
    </row>
    <row r="195" spans="1:4" x14ac:dyDescent="0.3">
      <c r="A195" s="22">
        <v>77010000184</v>
      </c>
      <c r="B195" s="23" t="s">
        <v>0</v>
      </c>
      <c r="D195" s="22">
        <v>77010000190</v>
      </c>
    </row>
    <row r="196" spans="1:4" x14ac:dyDescent="0.3">
      <c r="A196" s="22">
        <v>77010000212</v>
      </c>
      <c r="B196" s="23" t="s">
        <v>0</v>
      </c>
      <c r="D196" s="22">
        <v>77010000204</v>
      </c>
    </row>
    <row r="197" spans="1:4" x14ac:dyDescent="0.3">
      <c r="A197" s="22">
        <v>77010000183</v>
      </c>
      <c r="B197" s="23" t="s">
        <v>0</v>
      </c>
      <c r="D197" s="22">
        <v>77010000219</v>
      </c>
    </row>
    <row r="198" spans="1:4" x14ac:dyDescent="0.3">
      <c r="A198" s="22">
        <v>77010000190</v>
      </c>
      <c r="B198" s="23" t="s">
        <v>0</v>
      </c>
      <c r="D198" s="22">
        <v>77010000178</v>
      </c>
    </row>
    <row r="199" spans="1:4" x14ac:dyDescent="0.3">
      <c r="A199" s="22">
        <v>77010000204</v>
      </c>
      <c r="B199" s="23" t="s">
        <v>0</v>
      </c>
      <c r="D199" s="22">
        <v>77010000188</v>
      </c>
    </row>
    <row r="200" spans="1:4" x14ac:dyDescent="0.3">
      <c r="A200" s="22">
        <v>77010000219</v>
      </c>
      <c r="B200" s="23" t="s">
        <v>0</v>
      </c>
      <c r="D200" s="22">
        <v>77010000191</v>
      </c>
    </row>
    <row r="201" spans="1:4" x14ac:dyDescent="0.3">
      <c r="A201" s="22">
        <v>77010000178</v>
      </c>
      <c r="B201" s="23" t="s">
        <v>0</v>
      </c>
      <c r="D201" s="22">
        <v>77010000221</v>
      </c>
    </row>
    <row r="202" spans="1:4" x14ac:dyDescent="0.3">
      <c r="A202" s="22">
        <v>77010000188</v>
      </c>
      <c r="B202" s="23" t="s">
        <v>0</v>
      </c>
      <c r="D202" s="22">
        <v>77010000166</v>
      </c>
    </row>
    <row r="203" spans="1:4" x14ac:dyDescent="0.3">
      <c r="A203" s="22">
        <v>77010000221</v>
      </c>
      <c r="B203" s="23" t="s">
        <v>0</v>
      </c>
      <c r="D203" s="22">
        <v>77010000176</v>
      </c>
    </row>
    <row r="204" spans="1:4" x14ac:dyDescent="0.3">
      <c r="A204" s="22">
        <v>77010000176</v>
      </c>
      <c r="B204" s="23" t="s">
        <v>0</v>
      </c>
      <c r="D204" s="22">
        <v>77010000218</v>
      </c>
    </row>
    <row r="205" spans="1:4" x14ac:dyDescent="0.3">
      <c r="A205" s="22">
        <v>77010000218</v>
      </c>
      <c r="B205" s="23" t="s">
        <v>0</v>
      </c>
      <c r="D205" s="22">
        <v>77010000220</v>
      </c>
    </row>
    <row r="206" spans="1:4" x14ac:dyDescent="0.3">
      <c r="A206" s="22">
        <v>77010000220</v>
      </c>
      <c r="B206" s="23" t="s">
        <v>0</v>
      </c>
      <c r="D206" s="22">
        <v>77010000203</v>
      </c>
    </row>
    <row r="207" spans="1:4" x14ac:dyDescent="0.3">
      <c r="A207" s="22">
        <v>77010000203</v>
      </c>
      <c r="B207" s="23" t="s">
        <v>0</v>
      </c>
      <c r="D207" s="22">
        <v>77010000233</v>
      </c>
    </row>
    <row r="208" spans="1:4" x14ac:dyDescent="0.3">
      <c r="A208" s="22">
        <v>77010000210</v>
      </c>
      <c r="B208" s="23" t="s">
        <v>1</v>
      </c>
      <c r="D208" s="22">
        <v>77010000202</v>
      </c>
    </row>
    <row r="209" spans="1:4" x14ac:dyDescent="0.3">
      <c r="A209" s="22">
        <v>77010000233</v>
      </c>
      <c r="B209" s="23" t="s">
        <v>0</v>
      </c>
      <c r="D209" s="22">
        <v>77010000231</v>
      </c>
    </row>
    <row r="210" spans="1:4" x14ac:dyDescent="0.3">
      <c r="A210" s="22">
        <v>77010000202</v>
      </c>
      <c r="B210" s="23" t="s">
        <v>0</v>
      </c>
      <c r="D210" s="22">
        <v>77010000197</v>
      </c>
    </row>
    <row r="211" spans="1:4" x14ac:dyDescent="0.3">
      <c r="A211" s="22">
        <v>77010000231</v>
      </c>
      <c r="B211" s="23" t="s">
        <v>0</v>
      </c>
      <c r="D211" s="22">
        <v>77010000207</v>
      </c>
    </row>
    <row r="212" spans="1:4" x14ac:dyDescent="0.3">
      <c r="A212" s="22">
        <v>77010000197</v>
      </c>
      <c r="B212" s="23" t="s">
        <v>0</v>
      </c>
      <c r="D212" s="22">
        <v>77010000179</v>
      </c>
    </row>
    <row r="213" spans="1:4" x14ac:dyDescent="0.3">
      <c r="A213" s="22">
        <v>77010000207</v>
      </c>
      <c r="B213" s="23" t="s">
        <v>0</v>
      </c>
      <c r="D213" s="22">
        <v>77010000194</v>
      </c>
    </row>
    <row r="214" spans="1:4" x14ac:dyDescent="0.3">
      <c r="A214" s="22">
        <v>77010000179</v>
      </c>
      <c r="B214" s="23" t="s">
        <v>0</v>
      </c>
      <c r="D214" s="22">
        <v>77010000206</v>
      </c>
    </row>
    <row r="215" spans="1:4" x14ac:dyDescent="0.3">
      <c r="A215" s="22">
        <v>77010000194</v>
      </c>
      <c r="B215" s="23" t="s">
        <v>0</v>
      </c>
      <c r="D215" s="22">
        <v>77010000228</v>
      </c>
    </row>
    <row r="216" spans="1:4" x14ac:dyDescent="0.3">
      <c r="A216" s="22">
        <v>77010000206</v>
      </c>
      <c r="B216" s="23" t="s">
        <v>0</v>
      </c>
      <c r="D216" s="22">
        <v>77010000201</v>
      </c>
    </row>
    <row r="217" spans="1:4" x14ac:dyDescent="0.3">
      <c r="A217" s="22">
        <v>77010000228</v>
      </c>
      <c r="B217" s="23" t="s">
        <v>0</v>
      </c>
      <c r="D217" s="22">
        <v>77010000208</v>
      </c>
    </row>
    <row r="218" spans="1:4" x14ac:dyDescent="0.3">
      <c r="A218" s="22">
        <v>77010000201</v>
      </c>
      <c r="B218" s="23" t="s">
        <v>0</v>
      </c>
      <c r="D218" s="22">
        <v>77010000226</v>
      </c>
    </row>
    <row r="219" spans="1:4" x14ac:dyDescent="0.3">
      <c r="A219" s="22">
        <v>77010000208</v>
      </c>
      <c r="B219" s="23" t="s">
        <v>0</v>
      </c>
      <c r="D219" s="22">
        <v>77010000210</v>
      </c>
    </row>
    <row r="220" spans="1:4" x14ac:dyDescent="0.3">
      <c r="A220" s="22">
        <v>77010000226</v>
      </c>
      <c r="B220" s="23" t="s">
        <v>0</v>
      </c>
      <c r="D220" s="22">
        <v>77010000213</v>
      </c>
    </row>
    <row r="221" spans="1:4" x14ac:dyDescent="0.3">
      <c r="A221" s="22">
        <v>77010000213</v>
      </c>
      <c r="B221" s="23" t="s">
        <v>0</v>
      </c>
      <c r="D221" s="22">
        <v>77010000230</v>
      </c>
    </row>
    <row r="222" spans="1:4" x14ac:dyDescent="0.3">
      <c r="A222" s="22">
        <v>77010000230</v>
      </c>
      <c r="B222" s="23" t="s">
        <v>0</v>
      </c>
      <c r="D222" s="22">
        <v>77010000217</v>
      </c>
    </row>
    <row r="223" spans="1:4" x14ac:dyDescent="0.3">
      <c r="A223" s="22">
        <v>77010000217</v>
      </c>
      <c r="B223" s="23" t="s">
        <v>0</v>
      </c>
      <c r="D223" s="22">
        <v>77010000232</v>
      </c>
    </row>
    <row r="224" spans="1:4" x14ac:dyDescent="0.3">
      <c r="A224" s="22">
        <v>77010000232</v>
      </c>
      <c r="B224" s="23" t="s">
        <v>0</v>
      </c>
      <c r="D224" s="22">
        <v>77010000211</v>
      </c>
    </row>
    <row r="225" spans="1:4" x14ac:dyDescent="0.3">
      <c r="A225" s="22">
        <v>77010000211</v>
      </c>
      <c r="B225" s="23" t="s">
        <v>0</v>
      </c>
      <c r="D225" s="22">
        <v>77010000229</v>
      </c>
    </row>
    <row r="226" spans="1:4" x14ac:dyDescent="0.3">
      <c r="A226" s="22">
        <v>77010000229</v>
      </c>
      <c r="B226" s="23" t="s">
        <v>0</v>
      </c>
      <c r="D226" s="22">
        <v>77010000222</v>
      </c>
    </row>
    <row r="227" spans="1:4" x14ac:dyDescent="0.3">
      <c r="A227" s="22">
        <v>77010000222</v>
      </c>
      <c r="B227" s="23" t="s">
        <v>0</v>
      </c>
      <c r="D227" s="22">
        <v>77010000225</v>
      </c>
    </row>
    <row r="228" spans="1:4" x14ac:dyDescent="0.3">
      <c r="A228" s="22">
        <v>77010000225</v>
      </c>
      <c r="B228" s="23" t="s">
        <v>0</v>
      </c>
      <c r="D228" s="22">
        <v>77010000214</v>
      </c>
    </row>
    <row r="229" spans="1:4" x14ac:dyDescent="0.3">
      <c r="A229" s="22">
        <v>77010000214</v>
      </c>
      <c r="B229" s="23" t="s">
        <v>0</v>
      </c>
      <c r="D229" s="22">
        <v>77010000215</v>
      </c>
    </row>
    <row r="230" spans="1:4" x14ac:dyDescent="0.3">
      <c r="A230" s="22">
        <v>77010000215</v>
      </c>
      <c r="B230" s="23" t="s">
        <v>0</v>
      </c>
      <c r="D230" s="22">
        <v>77010000262</v>
      </c>
    </row>
    <row r="231" spans="1:4" x14ac:dyDescent="0.3">
      <c r="A231" s="22">
        <v>77010000262</v>
      </c>
      <c r="B231" s="23" t="s">
        <v>0</v>
      </c>
      <c r="D231" s="22">
        <v>77010000240</v>
      </c>
    </row>
    <row r="232" spans="1:4" x14ac:dyDescent="0.3">
      <c r="A232" s="22">
        <v>77010000240</v>
      </c>
      <c r="B232" s="23" t="s">
        <v>0</v>
      </c>
      <c r="D232" s="22">
        <v>77010000244</v>
      </c>
    </row>
    <row r="233" spans="1:4" x14ac:dyDescent="0.3">
      <c r="A233" s="22">
        <v>77010000244</v>
      </c>
      <c r="B233" s="23" t="s">
        <v>0</v>
      </c>
      <c r="D233" s="22">
        <v>77010000245</v>
      </c>
    </row>
    <row r="234" spans="1:4" x14ac:dyDescent="0.3">
      <c r="A234" s="22">
        <v>77010000245</v>
      </c>
      <c r="B234" s="23" t="s">
        <v>0</v>
      </c>
      <c r="D234" s="22">
        <v>77010000247</v>
      </c>
    </row>
    <row r="235" spans="1:4" x14ac:dyDescent="0.3">
      <c r="A235" s="22">
        <v>77010000247</v>
      </c>
      <c r="B235" s="23" t="s">
        <v>0</v>
      </c>
      <c r="D235" s="22">
        <v>77010000252</v>
      </c>
    </row>
    <row r="236" spans="1:4" x14ac:dyDescent="0.3">
      <c r="A236" s="22">
        <v>77010000252</v>
      </c>
      <c r="B236" s="23" t="s">
        <v>0</v>
      </c>
      <c r="D236" s="22">
        <v>77010000269</v>
      </c>
    </row>
    <row r="237" spans="1:4" x14ac:dyDescent="0.3">
      <c r="A237" s="22">
        <v>77010000269</v>
      </c>
      <c r="B237" s="23" t="s">
        <v>0</v>
      </c>
      <c r="D237" s="22">
        <v>77010000273</v>
      </c>
    </row>
    <row r="238" spans="1:4" x14ac:dyDescent="0.3">
      <c r="A238" s="22">
        <v>77010000273</v>
      </c>
      <c r="B238" s="23" t="s">
        <v>0</v>
      </c>
      <c r="D238" s="22">
        <v>77010000287</v>
      </c>
    </row>
    <row r="239" spans="1:4" x14ac:dyDescent="0.3">
      <c r="A239" s="22">
        <v>77010000287</v>
      </c>
      <c r="B239" s="23" t="s">
        <v>0</v>
      </c>
      <c r="D239" s="22">
        <v>77010000288</v>
      </c>
    </row>
    <row r="240" spans="1:4" x14ac:dyDescent="0.3">
      <c r="A240" s="22">
        <v>77010000288</v>
      </c>
      <c r="B240" s="23" t="s">
        <v>0</v>
      </c>
      <c r="D240" s="22">
        <v>77010000291</v>
      </c>
    </row>
    <row r="241" spans="1:4" x14ac:dyDescent="0.3">
      <c r="A241" s="22">
        <v>77010000291</v>
      </c>
      <c r="B241" s="23" t="s">
        <v>0</v>
      </c>
      <c r="D241" s="22">
        <v>77010000310</v>
      </c>
    </row>
    <row r="242" spans="1:4" x14ac:dyDescent="0.3">
      <c r="A242" s="22">
        <v>77010000293</v>
      </c>
      <c r="B242" s="23" t="s">
        <v>1</v>
      </c>
      <c r="D242" s="22">
        <v>77010000239</v>
      </c>
    </row>
    <row r="243" spans="1:4" x14ac:dyDescent="0.3">
      <c r="A243" s="22">
        <v>77010000310</v>
      </c>
      <c r="B243" s="23" t="s">
        <v>0</v>
      </c>
      <c r="D243" s="22">
        <v>77010000243</v>
      </c>
    </row>
    <row r="244" spans="1:4" x14ac:dyDescent="0.3">
      <c r="A244" s="22">
        <v>77010000271</v>
      </c>
      <c r="B244" s="23" t="s">
        <v>1</v>
      </c>
      <c r="D244" s="22">
        <v>77010000251</v>
      </c>
    </row>
    <row r="245" spans="1:4" x14ac:dyDescent="0.3">
      <c r="A245" s="22">
        <v>77010000239</v>
      </c>
      <c r="B245" s="23" t="s">
        <v>0</v>
      </c>
      <c r="D245" s="22">
        <v>77010000306</v>
      </c>
    </row>
    <row r="246" spans="1:4" x14ac:dyDescent="0.3">
      <c r="A246" s="22">
        <v>77010000243</v>
      </c>
      <c r="B246" s="23" t="s">
        <v>0</v>
      </c>
      <c r="D246" s="22">
        <v>77010000279</v>
      </c>
    </row>
    <row r="247" spans="1:4" x14ac:dyDescent="0.3">
      <c r="A247" s="22">
        <v>77010000251</v>
      </c>
      <c r="B247" s="23" t="s">
        <v>0</v>
      </c>
      <c r="D247" s="22">
        <v>77010000281</v>
      </c>
    </row>
    <row r="248" spans="1:4" x14ac:dyDescent="0.3">
      <c r="A248" s="22">
        <v>77010000306</v>
      </c>
      <c r="B248" s="23" t="s">
        <v>0</v>
      </c>
      <c r="D248" s="22">
        <v>77010000238</v>
      </c>
    </row>
    <row r="249" spans="1:4" x14ac:dyDescent="0.3">
      <c r="A249" s="22">
        <v>77010000279</v>
      </c>
      <c r="B249" s="23" t="s">
        <v>0</v>
      </c>
      <c r="D249" s="22">
        <v>77010000246</v>
      </c>
    </row>
    <row r="250" spans="1:4" x14ac:dyDescent="0.3">
      <c r="A250" s="22">
        <v>77010000281</v>
      </c>
      <c r="B250" s="23" t="s">
        <v>0</v>
      </c>
      <c r="D250" s="22">
        <v>77010000248</v>
      </c>
    </row>
    <row r="251" spans="1:4" x14ac:dyDescent="0.3">
      <c r="A251" s="22">
        <v>77010000238</v>
      </c>
      <c r="B251" s="23" t="s">
        <v>0</v>
      </c>
      <c r="D251" s="22">
        <v>77010000270</v>
      </c>
    </row>
    <row r="252" spans="1:4" x14ac:dyDescent="0.3">
      <c r="A252" s="22">
        <v>77010000246</v>
      </c>
      <c r="B252" s="23" t="s">
        <v>0</v>
      </c>
      <c r="D252" s="22">
        <v>77010000271</v>
      </c>
    </row>
    <row r="253" spans="1:4" x14ac:dyDescent="0.3">
      <c r="A253" s="22">
        <v>77010000248</v>
      </c>
      <c r="B253" s="23" t="s">
        <v>0</v>
      </c>
      <c r="D253" s="22">
        <v>77010000294</v>
      </c>
    </row>
    <row r="254" spans="1:4" x14ac:dyDescent="0.3">
      <c r="A254" s="22">
        <v>77010000270</v>
      </c>
      <c r="B254" s="23" t="s">
        <v>0</v>
      </c>
      <c r="D254" s="22">
        <v>77010000290</v>
      </c>
    </row>
    <row r="255" spans="1:4" x14ac:dyDescent="0.3">
      <c r="A255" s="22">
        <v>77010000294</v>
      </c>
      <c r="B255" s="23" t="s">
        <v>0</v>
      </c>
      <c r="D255" s="22">
        <v>77010000258</v>
      </c>
    </row>
    <row r="256" spans="1:4" x14ac:dyDescent="0.3">
      <c r="A256" s="22">
        <v>77010000290</v>
      </c>
      <c r="B256" s="23" t="s">
        <v>0</v>
      </c>
      <c r="D256" s="22">
        <v>77010000285</v>
      </c>
    </row>
    <row r="257" spans="1:4" x14ac:dyDescent="0.3">
      <c r="A257" s="22">
        <v>77010000258</v>
      </c>
      <c r="B257" s="23" t="s">
        <v>0</v>
      </c>
      <c r="D257" s="22">
        <v>77010000295</v>
      </c>
    </row>
    <row r="258" spans="1:4" x14ac:dyDescent="0.3">
      <c r="A258" s="22">
        <v>77010000285</v>
      </c>
      <c r="B258" s="23" t="s">
        <v>0</v>
      </c>
      <c r="D258" s="22">
        <v>77010000312</v>
      </c>
    </row>
    <row r="259" spans="1:4" x14ac:dyDescent="0.3">
      <c r="A259" s="22">
        <v>77010000295</v>
      </c>
      <c r="B259" s="23" t="s">
        <v>0</v>
      </c>
      <c r="D259" s="22">
        <v>77010000241</v>
      </c>
    </row>
    <row r="260" spans="1:4" x14ac:dyDescent="0.3">
      <c r="A260" s="22">
        <v>77010000312</v>
      </c>
      <c r="B260" s="23" t="s">
        <v>0</v>
      </c>
      <c r="D260" s="22">
        <v>77010000242</v>
      </c>
    </row>
    <row r="261" spans="1:4" x14ac:dyDescent="0.3">
      <c r="A261" s="22">
        <v>77010000241</v>
      </c>
      <c r="B261" s="23" t="s">
        <v>0</v>
      </c>
      <c r="D261" s="22">
        <v>77010000249</v>
      </c>
    </row>
    <row r="262" spans="1:4" x14ac:dyDescent="0.3">
      <c r="A262" s="22">
        <v>77010000242</v>
      </c>
      <c r="B262" s="23" t="s">
        <v>0</v>
      </c>
      <c r="D262" s="22">
        <v>77010000257</v>
      </c>
    </row>
    <row r="263" spans="1:4" x14ac:dyDescent="0.3">
      <c r="A263" s="22">
        <v>77010000249</v>
      </c>
      <c r="B263" s="23" t="s">
        <v>0</v>
      </c>
      <c r="D263" s="22">
        <v>77010000289</v>
      </c>
    </row>
    <row r="264" spans="1:4" x14ac:dyDescent="0.3">
      <c r="A264" s="22">
        <v>77010000257</v>
      </c>
      <c r="B264" s="23" t="s">
        <v>0</v>
      </c>
      <c r="D264" s="22">
        <v>77010000250</v>
      </c>
    </row>
    <row r="265" spans="1:4" x14ac:dyDescent="0.3">
      <c r="A265" s="22">
        <v>77010000289</v>
      </c>
      <c r="B265" s="23" t="s">
        <v>0</v>
      </c>
      <c r="D265" s="22">
        <v>77010000292</v>
      </c>
    </row>
    <row r="266" spans="1:4" x14ac:dyDescent="0.3">
      <c r="A266" s="22">
        <v>77010000250</v>
      </c>
      <c r="B266" s="23" t="s">
        <v>0</v>
      </c>
      <c r="D266" s="22">
        <v>77010000254</v>
      </c>
    </row>
    <row r="267" spans="1:4" x14ac:dyDescent="0.3">
      <c r="A267" s="22">
        <v>77010000292</v>
      </c>
      <c r="B267" s="23" t="s">
        <v>0</v>
      </c>
      <c r="D267" s="22">
        <v>77010000293</v>
      </c>
    </row>
    <row r="268" spans="1:4" x14ac:dyDescent="0.3">
      <c r="A268" s="22">
        <v>77010000254</v>
      </c>
      <c r="B268" s="23" t="s">
        <v>0</v>
      </c>
      <c r="D268" s="22">
        <v>77010000260</v>
      </c>
    </row>
    <row r="269" spans="1:4" x14ac:dyDescent="0.3">
      <c r="A269" s="22">
        <v>77010000260</v>
      </c>
      <c r="B269" s="23" t="s">
        <v>0</v>
      </c>
      <c r="D269" s="22">
        <v>77010000261</v>
      </c>
    </row>
    <row r="270" spans="1:4" x14ac:dyDescent="0.3">
      <c r="A270" s="22">
        <v>77010000261</v>
      </c>
      <c r="B270" s="23" t="s">
        <v>0</v>
      </c>
      <c r="D270" s="22">
        <v>77010000282</v>
      </c>
    </row>
    <row r="271" spans="1:4" x14ac:dyDescent="0.3">
      <c r="A271" s="22">
        <v>77010000282</v>
      </c>
      <c r="B271" s="23" t="s">
        <v>0</v>
      </c>
      <c r="D271" s="22">
        <v>77010000255</v>
      </c>
    </row>
    <row r="272" spans="1:4" x14ac:dyDescent="0.3">
      <c r="A272" s="22">
        <v>77010000255</v>
      </c>
      <c r="B272" s="23" t="s">
        <v>0</v>
      </c>
      <c r="D272" s="22">
        <v>77010000307</v>
      </c>
    </row>
    <row r="273" spans="1:4" x14ac:dyDescent="0.3">
      <c r="A273" s="22">
        <v>77010000307</v>
      </c>
      <c r="B273" s="23" t="s">
        <v>0</v>
      </c>
      <c r="D273" s="22">
        <v>77010000274</v>
      </c>
    </row>
    <row r="274" spans="1:4" x14ac:dyDescent="0.3">
      <c r="A274" s="22">
        <v>77010000274</v>
      </c>
      <c r="B274" s="23" t="s">
        <v>0</v>
      </c>
      <c r="D274" s="22">
        <v>77010000256</v>
      </c>
    </row>
    <row r="275" spans="1:4" x14ac:dyDescent="0.3">
      <c r="A275" s="22">
        <v>77010000256</v>
      </c>
      <c r="B275" s="23" t="s">
        <v>0</v>
      </c>
      <c r="D275" s="22">
        <v>77010000308</v>
      </c>
    </row>
    <row r="276" spans="1:4" x14ac:dyDescent="0.3">
      <c r="A276" s="22">
        <v>77010000308</v>
      </c>
      <c r="B276" s="23" t="s">
        <v>0</v>
      </c>
      <c r="D276" s="22">
        <v>77010000275</v>
      </c>
    </row>
    <row r="277" spans="1:4" x14ac:dyDescent="0.3">
      <c r="A277" s="22">
        <v>77010000275</v>
      </c>
      <c r="B277" s="23" t="s">
        <v>0</v>
      </c>
      <c r="D277" s="22">
        <v>77010000311</v>
      </c>
    </row>
    <row r="278" spans="1:4" x14ac:dyDescent="0.3">
      <c r="A278" s="22">
        <v>77010000311</v>
      </c>
      <c r="B278" s="23" t="s">
        <v>0</v>
      </c>
      <c r="D278" s="22">
        <v>77010000259</v>
      </c>
    </row>
    <row r="279" spans="1:4" x14ac:dyDescent="0.3">
      <c r="A279" s="22">
        <v>77010000259</v>
      </c>
      <c r="B279" s="23" t="s">
        <v>0</v>
      </c>
      <c r="D279" s="22">
        <v>77010000272</v>
      </c>
    </row>
    <row r="280" spans="1:4" x14ac:dyDescent="0.3">
      <c r="A280" s="22">
        <v>77010000272</v>
      </c>
      <c r="B280" s="23" t="s">
        <v>0</v>
      </c>
      <c r="D280" s="22">
        <v>77010000268</v>
      </c>
    </row>
    <row r="281" spans="1:4" x14ac:dyDescent="0.3">
      <c r="A281" s="22">
        <v>77010000268</v>
      </c>
      <c r="B281" s="23" t="s">
        <v>0</v>
      </c>
      <c r="D281" s="22">
        <v>77010000309</v>
      </c>
    </row>
    <row r="282" spans="1:4" x14ac:dyDescent="0.3">
      <c r="A282" s="22">
        <v>77010000309</v>
      </c>
      <c r="B282" s="23" t="s">
        <v>0</v>
      </c>
      <c r="D282" s="22">
        <v>77010000276</v>
      </c>
    </row>
    <row r="283" spans="1:4" x14ac:dyDescent="0.3">
      <c r="A283" s="22">
        <v>77010000253</v>
      </c>
      <c r="B283" s="23" t="s">
        <v>1</v>
      </c>
      <c r="D283" s="22">
        <v>77010000280</v>
      </c>
    </row>
    <row r="284" spans="1:4" x14ac:dyDescent="0.3">
      <c r="A284" s="22">
        <v>77010000276</v>
      </c>
      <c r="B284" s="23" t="s">
        <v>0</v>
      </c>
      <c r="D284" s="22">
        <v>77010000296</v>
      </c>
    </row>
    <row r="285" spans="1:4" x14ac:dyDescent="0.3">
      <c r="A285" s="22">
        <v>77010000280</v>
      </c>
      <c r="B285" s="23" t="s">
        <v>0</v>
      </c>
      <c r="D285" s="22">
        <v>77010000278</v>
      </c>
    </row>
    <row r="286" spans="1:4" x14ac:dyDescent="0.3">
      <c r="A286" s="22">
        <v>77010000296</v>
      </c>
      <c r="B286" s="23" t="s">
        <v>0</v>
      </c>
      <c r="D286" s="22">
        <v>77010000277</v>
      </c>
    </row>
    <row r="287" spans="1:4" x14ac:dyDescent="0.3">
      <c r="A287" s="22">
        <v>77010000278</v>
      </c>
      <c r="B287" s="23" t="s">
        <v>0</v>
      </c>
      <c r="D287" s="22">
        <v>77010000286</v>
      </c>
    </row>
    <row r="288" spans="1:4" x14ac:dyDescent="0.3">
      <c r="A288" s="22">
        <v>77010000277</v>
      </c>
      <c r="B288" s="23" t="s">
        <v>0</v>
      </c>
      <c r="D288" s="22">
        <v>77010000284</v>
      </c>
    </row>
    <row r="289" spans="1:4" x14ac:dyDescent="0.3">
      <c r="A289" s="22">
        <v>77010000286</v>
      </c>
      <c r="B289" s="23" t="s">
        <v>0</v>
      </c>
      <c r="D289" s="22">
        <v>77010000297</v>
      </c>
    </row>
    <row r="290" spans="1:4" x14ac:dyDescent="0.3">
      <c r="A290" s="22">
        <v>77010000284</v>
      </c>
      <c r="B290" s="23" t="s">
        <v>0</v>
      </c>
      <c r="D290" s="22">
        <v>77010000313</v>
      </c>
    </row>
    <row r="291" spans="1:4" x14ac:dyDescent="0.3">
      <c r="A291" s="22">
        <v>77010000297</v>
      </c>
      <c r="B291" s="23" t="s">
        <v>0</v>
      </c>
      <c r="D291" s="22">
        <v>77010000283</v>
      </c>
    </row>
    <row r="292" spans="1:4" x14ac:dyDescent="0.3">
      <c r="A292" s="22">
        <v>77010000313</v>
      </c>
      <c r="B292" s="23" t="s">
        <v>0</v>
      </c>
      <c r="D292" s="44"/>
    </row>
    <row r="293" spans="1:4" x14ac:dyDescent="0.3">
      <c r="A293" s="22">
        <v>77010000283</v>
      </c>
      <c r="B293" s="23" t="s">
        <v>0</v>
      </c>
    </row>
    <row r="294" spans="1:4" x14ac:dyDescent="0.3">
      <c r="A294"/>
      <c r="B294"/>
    </row>
    <row r="295" spans="1:4" x14ac:dyDescent="0.3">
      <c r="A295"/>
      <c r="B295"/>
    </row>
    <row r="296" spans="1:4" x14ac:dyDescent="0.3">
      <c r="A296"/>
      <c r="B296"/>
    </row>
    <row r="297" spans="1:4" x14ac:dyDescent="0.3">
      <c r="A297"/>
      <c r="B297"/>
    </row>
    <row r="298" spans="1:4" x14ac:dyDescent="0.3">
      <c r="A298"/>
      <c r="B298"/>
    </row>
    <row r="299" spans="1:4" x14ac:dyDescent="0.3">
      <c r="A299"/>
      <c r="B299"/>
    </row>
    <row r="300" spans="1:4" x14ac:dyDescent="0.3">
      <c r="A300"/>
      <c r="B300"/>
    </row>
    <row r="301" spans="1:4" x14ac:dyDescent="0.3">
      <c r="A301"/>
      <c r="B301"/>
    </row>
    <row r="302" spans="1:4" x14ac:dyDescent="0.3">
      <c r="A302"/>
      <c r="B302"/>
    </row>
    <row r="303" spans="1:4" x14ac:dyDescent="0.3">
      <c r="A303"/>
      <c r="B303"/>
    </row>
    <row r="304" spans="1:4" x14ac:dyDescent="0.3">
      <c r="A304"/>
      <c r="B304"/>
    </row>
    <row r="305" spans="1:2" x14ac:dyDescent="0.3">
      <c r="A305"/>
      <c r="B305"/>
    </row>
    <row r="306" spans="1:2" x14ac:dyDescent="0.3">
      <c r="A306"/>
      <c r="B306"/>
    </row>
    <row r="307" spans="1:2" x14ac:dyDescent="0.3">
      <c r="A307"/>
      <c r="B307"/>
    </row>
    <row r="308" spans="1:2" x14ac:dyDescent="0.3">
      <c r="A308"/>
      <c r="B308"/>
    </row>
    <row r="309" spans="1:2" x14ac:dyDescent="0.3">
      <c r="A309"/>
      <c r="B309"/>
    </row>
    <row r="310" spans="1:2" x14ac:dyDescent="0.3">
      <c r="A310"/>
      <c r="B310"/>
    </row>
    <row r="311" spans="1:2" x14ac:dyDescent="0.3">
      <c r="A311"/>
      <c r="B311"/>
    </row>
    <row r="312" spans="1:2" x14ac:dyDescent="0.3">
      <c r="A312"/>
      <c r="B312"/>
    </row>
    <row r="313" spans="1:2" x14ac:dyDescent="0.3">
      <c r="A313"/>
      <c r="B313"/>
    </row>
    <row r="314" spans="1:2" x14ac:dyDescent="0.3">
      <c r="A314"/>
      <c r="B314"/>
    </row>
    <row r="315" spans="1:2" x14ac:dyDescent="0.3">
      <c r="A315"/>
      <c r="B315"/>
    </row>
    <row r="316" spans="1:2" x14ac:dyDescent="0.3">
      <c r="A316"/>
      <c r="B316"/>
    </row>
    <row r="317" spans="1:2" x14ac:dyDescent="0.3">
      <c r="A317"/>
      <c r="B317"/>
    </row>
    <row r="318" spans="1:2" x14ac:dyDescent="0.3">
      <c r="A318"/>
      <c r="B318"/>
    </row>
    <row r="319" spans="1:2" x14ac:dyDescent="0.3">
      <c r="A319"/>
      <c r="B319"/>
    </row>
    <row r="320" spans="1:2" x14ac:dyDescent="0.3">
      <c r="A320"/>
      <c r="B320"/>
    </row>
    <row r="321" spans="1:2" x14ac:dyDescent="0.3">
      <c r="A321"/>
      <c r="B321"/>
    </row>
    <row r="322" spans="1:2" x14ac:dyDescent="0.3">
      <c r="A322"/>
      <c r="B322"/>
    </row>
    <row r="323" spans="1:2" x14ac:dyDescent="0.3">
      <c r="A323"/>
      <c r="B323"/>
    </row>
    <row r="324" spans="1:2" x14ac:dyDescent="0.3">
      <c r="A324"/>
      <c r="B324"/>
    </row>
    <row r="325" spans="1:2" x14ac:dyDescent="0.3">
      <c r="A325"/>
      <c r="B325"/>
    </row>
    <row r="326" spans="1:2" x14ac:dyDescent="0.3">
      <c r="A326"/>
      <c r="B326"/>
    </row>
    <row r="327" spans="1:2" x14ac:dyDescent="0.3">
      <c r="A327"/>
      <c r="B327"/>
    </row>
    <row r="328" spans="1:2" x14ac:dyDescent="0.3">
      <c r="A328"/>
      <c r="B328"/>
    </row>
    <row r="329" spans="1:2" x14ac:dyDescent="0.3">
      <c r="A329"/>
      <c r="B329"/>
    </row>
    <row r="330" spans="1:2" x14ac:dyDescent="0.3">
      <c r="A330"/>
      <c r="B330"/>
    </row>
    <row r="331" spans="1:2" x14ac:dyDescent="0.3">
      <c r="A331"/>
      <c r="B331"/>
    </row>
    <row r="332" spans="1:2" x14ac:dyDescent="0.3">
      <c r="A332"/>
      <c r="B332"/>
    </row>
    <row r="333" spans="1:2" x14ac:dyDescent="0.3">
      <c r="A333"/>
      <c r="B333"/>
    </row>
    <row r="334" spans="1:2" x14ac:dyDescent="0.3">
      <c r="A334"/>
      <c r="B334"/>
    </row>
    <row r="335" spans="1:2" x14ac:dyDescent="0.3">
      <c r="A335"/>
      <c r="B335"/>
    </row>
    <row r="336" spans="1:2" x14ac:dyDescent="0.3">
      <c r="A336"/>
      <c r="B336"/>
    </row>
    <row r="337" spans="1:2" x14ac:dyDescent="0.3">
      <c r="A337"/>
      <c r="B337"/>
    </row>
    <row r="338" spans="1:2" x14ac:dyDescent="0.3">
      <c r="A338"/>
      <c r="B338"/>
    </row>
    <row r="339" spans="1:2" x14ac:dyDescent="0.3">
      <c r="A339"/>
      <c r="B339"/>
    </row>
    <row r="340" spans="1:2" x14ac:dyDescent="0.3">
      <c r="A340"/>
      <c r="B340"/>
    </row>
    <row r="341" spans="1:2" x14ac:dyDescent="0.3">
      <c r="A341"/>
      <c r="B341"/>
    </row>
    <row r="342" spans="1:2" x14ac:dyDescent="0.3">
      <c r="A342"/>
      <c r="B342"/>
    </row>
    <row r="343" spans="1:2" x14ac:dyDescent="0.3">
      <c r="A343"/>
      <c r="B343"/>
    </row>
    <row r="344" spans="1:2" x14ac:dyDescent="0.3">
      <c r="A344"/>
      <c r="B344"/>
    </row>
    <row r="345" spans="1:2" x14ac:dyDescent="0.3">
      <c r="A345"/>
      <c r="B345"/>
    </row>
    <row r="346" spans="1:2" x14ac:dyDescent="0.3">
      <c r="A346"/>
      <c r="B346"/>
    </row>
    <row r="347" spans="1:2" x14ac:dyDescent="0.3">
      <c r="A347"/>
      <c r="B347"/>
    </row>
    <row r="348" spans="1:2" x14ac:dyDescent="0.3">
      <c r="A348"/>
      <c r="B348"/>
    </row>
    <row r="349" spans="1:2" x14ac:dyDescent="0.3">
      <c r="A349"/>
      <c r="B349"/>
    </row>
    <row r="350" spans="1:2" x14ac:dyDescent="0.3">
      <c r="A350"/>
      <c r="B350"/>
    </row>
    <row r="351" spans="1:2" x14ac:dyDescent="0.3">
      <c r="A351"/>
      <c r="B351"/>
    </row>
    <row r="352" spans="1:2" x14ac:dyDescent="0.3">
      <c r="A352"/>
      <c r="B352"/>
    </row>
    <row r="353" spans="1:2" x14ac:dyDescent="0.3">
      <c r="A353"/>
      <c r="B353"/>
    </row>
    <row r="354" spans="1:2" x14ac:dyDescent="0.3">
      <c r="A354"/>
      <c r="B354"/>
    </row>
    <row r="355" spans="1:2" x14ac:dyDescent="0.3">
      <c r="A355"/>
      <c r="B355"/>
    </row>
    <row r="356" spans="1:2" x14ac:dyDescent="0.3">
      <c r="A356"/>
      <c r="B356"/>
    </row>
    <row r="357" spans="1:2" x14ac:dyDescent="0.3">
      <c r="A357"/>
      <c r="B357"/>
    </row>
    <row r="358" spans="1:2" x14ac:dyDescent="0.3">
      <c r="A358"/>
      <c r="B358"/>
    </row>
    <row r="359" spans="1:2" x14ac:dyDescent="0.3">
      <c r="A359"/>
      <c r="B359"/>
    </row>
    <row r="360" spans="1:2" x14ac:dyDescent="0.3">
      <c r="A360"/>
      <c r="B360"/>
    </row>
    <row r="361" spans="1:2" x14ac:dyDescent="0.3">
      <c r="A361"/>
      <c r="B361"/>
    </row>
    <row r="362" spans="1:2" x14ac:dyDescent="0.3">
      <c r="A362"/>
      <c r="B362"/>
    </row>
    <row r="363" spans="1:2" x14ac:dyDescent="0.3">
      <c r="A363"/>
      <c r="B363"/>
    </row>
    <row r="364" spans="1:2" x14ac:dyDescent="0.3">
      <c r="A364"/>
      <c r="B364"/>
    </row>
    <row r="365" spans="1:2" x14ac:dyDescent="0.3">
      <c r="A365"/>
      <c r="B365"/>
    </row>
    <row r="366" spans="1:2" x14ac:dyDescent="0.3">
      <c r="A366"/>
      <c r="B366"/>
    </row>
    <row r="367" spans="1:2" x14ac:dyDescent="0.3">
      <c r="A367"/>
      <c r="B367"/>
    </row>
    <row r="368" spans="1:2" x14ac:dyDescent="0.3">
      <c r="A368"/>
      <c r="B368"/>
    </row>
    <row r="369" spans="1:2" x14ac:dyDescent="0.3">
      <c r="A369"/>
      <c r="B369"/>
    </row>
    <row r="370" spans="1:2" x14ac:dyDescent="0.3">
      <c r="A370"/>
      <c r="B370"/>
    </row>
    <row r="371" spans="1:2" x14ac:dyDescent="0.3">
      <c r="A371"/>
      <c r="B371"/>
    </row>
    <row r="372" spans="1:2" x14ac:dyDescent="0.3">
      <c r="A372"/>
      <c r="B372"/>
    </row>
    <row r="373" spans="1:2" x14ac:dyDescent="0.3">
      <c r="A373"/>
      <c r="B373"/>
    </row>
    <row r="374" spans="1:2" x14ac:dyDescent="0.3">
      <c r="A374"/>
      <c r="B374"/>
    </row>
    <row r="375" spans="1:2" x14ac:dyDescent="0.3">
      <c r="A375"/>
      <c r="B375"/>
    </row>
    <row r="376" spans="1:2" x14ac:dyDescent="0.3">
      <c r="A376"/>
      <c r="B376"/>
    </row>
    <row r="377" spans="1:2" x14ac:dyDescent="0.3">
      <c r="A377"/>
      <c r="B377"/>
    </row>
    <row r="378" spans="1:2" x14ac:dyDescent="0.3">
      <c r="A378"/>
      <c r="B378"/>
    </row>
    <row r="379" spans="1:2" x14ac:dyDescent="0.3">
      <c r="A379"/>
      <c r="B379"/>
    </row>
    <row r="380" spans="1:2" x14ac:dyDescent="0.3">
      <c r="A380"/>
      <c r="B380"/>
    </row>
    <row r="381" spans="1:2" x14ac:dyDescent="0.3">
      <c r="A381"/>
      <c r="B381"/>
    </row>
    <row r="382" spans="1:2" x14ac:dyDescent="0.3">
      <c r="A382"/>
      <c r="B382"/>
    </row>
    <row r="383" spans="1:2" x14ac:dyDescent="0.3">
      <c r="A383"/>
      <c r="B383"/>
    </row>
    <row r="384" spans="1:2" x14ac:dyDescent="0.3">
      <c r="A384"/>
      <c r="B384"/>
    </row>
    <row r="385" spans="1:2" x14ac:dyDescent="0.3">
      <c r="A385"/>
      <c r="B385"/>
    </row>
    <row r="386" spans="1:2" x14ac:dyDescent="0.3">
      <c r="A386"/>
      <c r="B386"/>
    </row>
    <row r="387" spans="1:2" x14ac:dyDescent="0.3">
      <c r="A387"/>
      <c r="B387"/>
    </row>
    <row r="388" spans="1:2" x14ac:dyDescent="0.3">
      <c r="A388"/>
      <c r="B388"/>
    </row>
    <row r="389" spans="1:2" x14ac:dyDescent="0.3">
      <c r="A389"/>
      <c r="B389"/>
    </row>
    <row r="390" spans="1:2" x14ac:dyDescent="0.3">
      <c r="A390"/>
      <c r="B390"/>
    </row>
    <row r="391" spans="1:2" x14ac:dyDescent="0.3">
      <c r="A391"/>
      <c r="B391"/>
    </row>
    <row r="392" spans="1:2" x14ac:dyDescent="0.3">
      <c r="A392"/>
      <c r="B392"/>
    </row>
    <row r="393" spans="1:2" x14ac:dyDescent="0.3">
      <c r="A393"/>
      <c r="B393"/>
    </row>
    <row r="394" spans="1:2" x14ac:dyDescent="0.3">
      <c r="A394"/>
      <c r="B394"/>
    </row>
    <row r="395" spans="1:2" x14ac:dyDescent="0.3">
      <c r="A395"/>
      <c r="B395"/>
    </row>
    <row r="396" spans="1:2" x14ac:dyDescent="0.3">
      <c r="A396"/>
      <c r="B396"/>
    </row>
    <row r="397" spans="1:2" x14ac:dyDescent="0.3">
      <c r="A397"/>
      <c r="B397"/>
    </row>
    <row r="398" spans="1:2" x14ac:dyDescent="0.3">
      <c r="A398"/>
      <c r="B398"/>
    </row>
    <row r="399" spans="1:2" x14ac:dyDescent="0.3">
      <c r="A399"/>
      <c r="B399"/>
    </row>
    <row r="400" spans="1:2" x14ac:dyDescent="0.3">
      <c r="A400"/>
      <c r="B400"/>
    </row>
    <row r="401" spans="1:2" x14ac:dyDescent="0.3">
      <c r="A401"/>
      <c r="B401"/>
    </row>
    <row r="402" spans="1:2" x14ac:dyDescent="0.3">
      <c r="A402"/>
      <c r="B402"/>
    </row>
    <row r="403" spans="1:2" x14ac:dyDescent="0.3">
      <c r="A403"/>
      <c r="B403"/>
    </row>
    <row r="404" spans="1:2" x14ac:dyDescent="0.3">
      <c r="A404"/>
      <c r="B404"/>
    </row>
    <row r="405" spans="1:2" x14ac:dyDescent="0.3">
      <c r="A405"/>
      <c r="B405"/>
    </row>
    <row r="406" spans="1:2" x14ac:dyDescent="0.3">
      <c r="A406"/>
      <c r="B406"/>
    </row>
    <row r="407" spans="1:2" x14ac:dyDescent="0.3">
      <c r="A407"/>
      <c r="B407"/>
    </row>
    <row r="408" spans="1:2" x14ac:dyDescent="0.3">
      <c r="A408"/>
      <c r="B408"/>
    </row>
    <row r="409" spans="1:2" x14ac:dyDescent="0.3">
      <c r="A409"/>
      <c r="B409"/>
    </row>
    <row r="410" spans="1:2" x14ac:dyDescent="0.3">
      <c r="A410"/>
      <c r="B410"/>
    </row>
    <row r="411" spans="1:2" x14ac:dyDescent="0.3">
      <c r="A411"/>
      <c r="B411"/>
    </row>
    <row r="412" spans="1:2" x14ac:dyDescent="0.3">
      <c r="A412"/>
      <c r="B412"/>
    </row>
    <row r="413" spans="1:2" x14ac:dyDescent="0.3">
      <c r="A413"/>
      <c r="B413"/>
    </row>
    <row r="414" spans="1:2" x14ac:dyDescent="0.3">
      <c r="A414"/>
      <c r="B414"/>
    </row>
    <row r="415" spans="1:2" x14ac:dyDescent="0.3">
      <c r="A415"/>
      <c r="B415"/>
    </row>
    <row r="416" spans="1:2" x14ac:dyDescent="0.3">
      <c r="A416"/>
      <c r="B416"/>
    </row>
    <row r="417" spans="1:2" x14ac:dyDescent="0.3">
      <c r="A417"/>
      <c r="B417"/>
    </row>
    <row r="418" spans="1:2" x14ac:dyDescent="0.3">
      <c r="A418"/>
      <c r="B418"/>
    </row>
    <row r="419" spans="1:2" x14ac:dyDescent="0.3">
      <c r="A419"/>
      <c r="B419"/>
    </row>
    <row r="420" spans="1:2" x14ac:dyDescent="0.3">
      <c r="A420"/>
      <c r="B420"/>
    </row>
    <row r="421" spans="1:2" x14ac:dyDescent="0.3">
      <c r="A421"/>
      <c r="B421"/>
    </row>
    <row r="422" spans="1:2" x14ac:dyDescent="0.3">
      <c r="A422"/>
      <c r="B422"/>
    </row>
    <row r="423" spans="1:2" x14ac:dyDescent="0.3">
      <c r="A423"/>
      <c r="B423"/>
    </row>
    <row r="424" spans="1:2" x14ac:dyDescent="0.3">
      <c r="A424"/>
      <c r="B424"/>
    </row>
    <row r="425" spans="1:2" x14ac:dyDescent="0.3">
      <c r="A425"/>
      <c r="B425"/>
    </row>
    <row r="426" spans="1:2" x14ac:dyDescent="0.3">
      <c r="A426"/>
      <c r="B426"/>
    </row>
    <row r="427" spans="1:2" x14ac:dyDescent="0.3">
      <c r="A427"/>
      <c r="B427"/>
    </row>
    <row r="428" spans="1:2" x14ac:dyDescent="0.3">
      <c r="A428"/>
      <c r="B428"/>
    </row>
    <row r="429" spans="1:2" x14ac:dyDescent="0.3">
      <c r="A429"/>
      <c r="B429"/>
    </row>
    <row r="430" spans="1:2" x14ac:dyDescent="0.3">
      <c r="A430"/>
      <c r="B430"/>
    </row>
    <row r="431" spans="1:2" x14ac:dyDescent="0.3">
      <c r="A431"/>
      <c r="B431"/>
    </row>
    <row r="432" spans="1:2" x14ac:dyDescent="0.3">
      <c r="A432"/>
      <c r="B432"/>
    </row>
    <row r="433" spans="1:2" x14ac:dyDescent="0.3">
      <c r="A433"/>
      <c r="B433"/>
    </row>
    <row r="434" spans="1:2" x14ac:dyDescent="0.3">
      <c r="A434"/>
      <c r="B434"/>
    </row>
    <row r="435" spans="1:2" x14ac:dyDescent="0.3">
      <c r="A435"/>
      <c r="B435"/>
    </row>
    <row r="436" spans="1:2" x14ac:dyDescent="0.3">
      <c r="A436"/>
      <c r="B436"/>
    </row>
    <row r="437" spans="1:2" x14ac:dyDescent="0.3">
      <c r="A437"/>
      <c r="B437"/>
    </row>
    <row r="438" spans="1:2" x14ac:dyDescent="0.3">
      <c r="A438"/>
      <c r="B438"/>
    </row>
    <row r="439" spans="1:2" x14ac:dyDescent="0.3">
      <c r="A439"/>
      <c r="B439"/>
    </row>
    <row r="440" spans="1:2" x14ac:dyDescent="0.3">
      <c r="A440"/>
      <c r="B440"/>
    </row>
    <row r="441" spans="1:2" x14ac:dyDescent="0.3">
      <c r="A441"/>
      <c r="B441"/>
    </row>
    <row r="442" spans="1:2" x14ac:dyDescent="0.3">
      <c r="A442"/>
      <c r="B442"/>
    </row>
    <row r="443" spans="1:2" x14ac:dyDescent="0.3">
      <c r="A443"/>
      <c r="B443"/>
    </row>
    <row r="444" spans="1:2" x14ac:dyDescent="0.3">
      <c r="A444"/>
      <c r="B444"/>
    </row>
    <row r="445" spans="1:2" x14ac:dyDescent="0.3">
      <c r="A445"/>
      <c r="B445"/>
    </row>
    <row r="446" spans="1:2" x14ac:dyDescent="0.3">
      <c r="A446"/>
      <c r="B446"/>
    </row>
    <row r="447" spans="1:2" x14ac:dyDescent="0.3">
      <c r="A447"/>
      <c r="B447"/>
    </row>
    <row r="448" spans="1:2" x14ac:dyDescent="0.3">
      <c r="A448"/>
      <c r="B448"/>
    </row>
    <row r="449" spans="1:2" x14ac:dyDescent="0.3">
      <c r="A449"/>
      <c r="B449"/>
    </row>
    <row r="450" spans="1:2" x14ac:dyDescent="0.3">
      <c r="A450"/>
      <c r="B450"/>
    </row>
    <row r="451" spans="1:2" x14ac:dyDescent="0.3">
      <c r="A451"/>
      <c r="B451"/>
    </row>
    <row r="452" spans="1:2" x14ac:dyDescent="0.3">
      <c r="A452"/>
      <c r="B452"/>
    </row>
    <row r="453" spans="1:2" x14ac:dyDescent="0.3">
      <c r="A453"/>
      <c r="B453"/>
    </row>
    <row r="454" spans="1:2" x14ac:dyDescent="0.3">
      <c r="A454"/>
      <c r="B454"/>
    </row>
    <row r="455" spans="1:2" x14ac:dyDescent="0.3">
      <c r="A455"/>
      <c r="B455"/>
    </row>
    <row r="456" spans="1:2" x14ac:dyDescent="0.3">
      <c r="A456"/>
      <c r="B456"/>
    </row>
    <row r="457" spans="1:2" x14ac:dyDescent="0.3">
      <c r="A457"/>
      <c r="B457"/>
    </row>
    <row r="458" spans="1:2" x14ac:dyDescent="0.3">
      <c r="A458"/>
      <c r="B458"/>
    </row>
    <row r="459" spans="1:2" x14ac:dyDescent="0.3">
      <c r="A459"/>
      <c r="B459"/>
    </row>
    <row r="460" spans="1:2" x14ac:dyDescent="0.3">
      <c r="A460"/>
      <c r="B460"/>
    </row>
    <row r="461" spans="1:2" x14ac:dyDescent="0.3">
      <c r="A461"/>
      <c r="B461"/>
    </row>
    <row r="462" spans="1:2" x14ac:dyDescent="0.3">
      <c r="A462"/>
      <c r="B462"/>
    </row>
    <row r="463" spans="1:2" x14ac:dyDescent="0.3">
      <c r="A463"/>
      <c r="B463"/>
    </row>
    <row r="464" spans="1:2" x14ac:dyDescent="0.3">
      <c r="A464"/>
      <c r="B464"/>
    </row>
    <row r="465" spans="1:2" x14ac:dyDescent="0.3">
      <c r="A465"/>
      <c r="B465"/>
    </row>
    <row r="466" spans="1:2" x14ac:dyDescent="0.3">
      <c r="A466"/>
      <c r="B466"/>
    </row>
    <row r="467" spans="1:2" x14ac:dyDescent="0.3">
      <c r="A467"/>
      <c r="B467"/>
    </row>
    <row r="468" spans="1:2" x14ac:dyDescent="0.3">
      <c r="A468"/>
      <c r="B468"/>
    </row>
    <row r="469" spans="1:2" x14ac:dyDescent="0.3">
      <c r="A469"/>
      <c r="B469"/>
    </row>
    <row r="470" spans="1:2" x14ac:dyDescent="0.3">
      <c r="A470"/>
      <c r="B470"/>
    </row>
    <row r="471" spans="1:2" x14ac:dyDescent="0.3">
      <c r="A471"/>
      <c r="B471"/>
    </row>
    <row r="472" spans="1:2" x14ac:dyDescent="0.3">
      <c r="A472"/>
      <c r="B472"/>
    </row>
    <row r="473" spans="1:2" x14ac:dyDescent="0.3">
      <c r="A473"/>
      <c r="B473"/>
    </row>
    <row r="474" spans="1:2" x14ac:dyDescent="0.3">
      <c r="A474"/>
      <c r="B474"/>
    </row>
    <row r="475" spans="1:2" x14ac:dyDescent="0.3">
      <c r="A475"/>
      <c r="B475"/>
    </row>
    <row r="476" spans="1:2" x14ac:dyDescent="0.3">
      <c r="A476"/>
      <c r="B476"/>
    </row>
    <row r="477" spans="1:2" x14ac:dyDescent="0.3">
      <c r="A477"/>
      <c r="B477"/>
    </row>
    <row r="478" spans="1:2" x14ac:dyDescent="0.3">
      <c r="A478"/>
      <c r="B478"/>
    </row>
    <row r="479" spans="1:2" x14ac:dyDescent="0.3">
      <c r="A479"/>
      <c r="B479"/>
    </row>
    <row r="480" spans="1:2" x14ac:dyDescent="0.3">
      <c r="A480"/>
      <c r="B480"/>
    </row>
    <row r="481" spans="1:2" x14ac:dyDescent="0.3">
      <c r="A481"/>
      <c r="B481"/>
    </row>
    <row r="482" spans="1:2" x14ac:dyDescent="0.3">
      <c r="A482"/>
      <c r="B482"/>
    </row>
    <row r="483" spans="1:2" x14ac:dyDescent="0.3">
      <c r="A483"/>
      <c r="B483"/>
    </row>
    <row r="484" spans="1:2" x14ac:dyDescent="0.3">
      <c r="A484"/>
      <c r="B484"/>
    </row>
    <row r="485" spans="1:2" x14ac:dyDescent="0.3">
      <c r="A485"/>
      <c r="B485"/>
    </row>
    <row r="486" spans="1:2" x14ac:dyDescent="0.3">
      <c r="A486"/>
      <c r="B486"/>
    </row>
    <row r="487" spans="1:2" x14ac:dyDescent="0.3">
      <c r="A487"/>
      <c r="B487"/>
    </row>
    <row r="488" spans="1:2" x14ac:dyDescent="0.3">
      <c r="A488"/>
      <c r="B488"/>
    </row>
    <row r="489" spans="1:2" x14ac:dyDescent="0.3">
      <c r="A489"/>
      <c r="B489"/>
    </row>
    <row r="490" spans="1:2" x14ac:dyDescent="0.3">
      <c r="A490"/>
      <c r="B490"/>
    </row>
    <row r="491" spans="1:2" x14ac:dyDescent="0.3">
      <c r="A491"/>
      <c r="B491"/>
    </row>
    <row r="492" spans="1:2" x14ac:dyDescent="0.3">
      <c r="A492"/>
      <c r="B492"/>
    </row>
    <row r="493" spans="1:2" x14ac:dyDescent="0.3">
      <c r="A493"/>
      <c r="B493"/>
    </row>
    <row r="494" spans="1:2" x14ac:dyDescent="0.3">
      <c r="A494"/>
      <c r="B494"/>
    </row>
    <row r="495" spans="1:2" x14ac:dyDescent="0.3">
      <c r="A495"/>
      <c r="B495"/>
    </row>
    <row r="496" spans="1:2" x14ac:dyDescent="0.3">
      <c r="A496"/>
      <c r="B496"/>
    </row>
    <row r="497" spans="1:2" x14ac:dyDescent="0.3">
      <c r="A497"/>
      <c r="B497"/>
    </row>
    <row r="498" spans="1:2" x14ac:dyDescent="0.3">
      <c r="A498"/>
      <c r="B498"/>
    </row>
    <row r="499" spans="1:2" x14ac:dyDescent="0.3">
      <c r="A499"/>
      <c r="B499"/>
    </row>
    <row r="500" spans="1:2" x14ac:dyDescent="0.3">
      <c r="A500"/>
      <c r="B500"/>
    </row>
    <row r="501" spans="1:2" x14ac:dyDescent="0.3">
      <c r="A501"/>
      <c r="B501"/>
    </row>
    <row r="502" spans="1:2" x14ac:dyDescent="0.3">
      <c r="A502"/>
      <c r="B502"/>
    </row>
    <row r="503" spans="1:2" x14ac:dyDescent="0.3">
      <c r="A503"/>
      <c r="B503"/>
    </row>
    <row r="504" spans="1:2" x14ac:dyDescent="0.3">
      <c r="A504"/>
      <c r="B504"/>
    </row>
    <row r="505" spans="1:2" x14ac:dyDescent="0.3">
      <c r="A505"/>
      <c r="B505"/>
    </row>
    <row r="506" spans="1:2" x14ac:dyDescent="0.3">
      <c r="A506"/>
      <c r="B506"/>
    </row>
    <row r="507" spans="1:2" x14ac:dyDescent="0.3">
      <c r="A507"/>
      <c r="B507"/>
    </row>
    <row r="508" spans="1:2" x14ac:dyDescent="0.3">
      <c r="A508"/>
      <c r="B508"/>
    </row>
    <row r="509" spans="1:2" x14ac:dyDescent="0.3">
      <c r="A509"/>
      <c r="B509"/>
    </row>
    <row r="510" spans="1:2" x14ac:dyDescent="0.3">
      <c r="A510"/>
      <c r="B510"/>
    </row>
    <row r="511" spans="1:2" x14ac:dyDescent="0.3">
      <c r="A511"/>
      <c r="B511"/>
    </row>
    <row r="512" spans="1:2" x14ac:dyDescent="0.3">
      <c r="A512"/>
      <c r="B512"/>
    </row>
    <row r="513" spans="1:2" x14ac:dyDescent="0.3">
      <c r="A513"/>
      <c r="B513"/>
    </row>
    <row r="514" spans="1:2" x14ac:dyDescent="0.3">
      <c r="A514"/>
      <c r="B514"/>
    </row>
    <row r="515" spans="1:2" x14ac:dyDescent="0.3">
      <c r="A515"/>
      <c r="B515"/>
    </row>
    <row r="516" spans="1:2" x14ac:dyDescent="0.3">
      <c r="A516"/>
      <c r="B516"/>
    </row>
    <row r="517" spans="1:2" x14ac:dyDescent="0.3">
      <c r="A517"/>
      <c r="B517"/>
    </row>
    <row r="518" spans="1:2" x14ac:dyDescent="0.3">
      <c r="A518"/>
      <c r="B518"/>
    </row>
    <row r="519" spans="1:2" x14ac:dyDescent="0.3">
      <c r="A519"/>
      <c r="B519"/>
    </row>
    <row r="520" spans="1:2" x14ac:dyDescent="0.3">
      <c r="A520"/>
      <c r="B520"/>
    </row>
    <row r="521" spans="1:2" x14ac:dyDescent="0.3">
      <c r="A521"/>
      <c r="B521"/>
    </row>
    <row r="522" spans="1:2" x14ac:dyDescent="0.3">
      <c r="A522"/>
      <c r="B522"/>
    </row>
    <row r="523" spans="1:2" x14ac:dyDescent="0.3">
      <c r="A523"/>
      <c r="B523"/>
    </row>
    <row r="524" spans="1:2" x14ac:dyDescent="0.3">
      <c r="A524"/>
      <c r="B524"/>
    </row>
    <row r="525" spans="1:2" x14ac:dyDescent="0.3">
      <c r="A525"/>
      <c r="B525"/>
    </row>
    <row r="526" spans="1:2" x14ac:dyDescent="0.3">
      <c r="A526"/>
      <c r="B526"/>
    </row>
    <row r="527" spans="1:2" x14ac:dyDescent="0.3">
      <c r="A527"/>
      <c r="B527"/>
    </row>
    <row r="528" spans="1:2" x14ac:dyDescent="0.3">
      <c r="A528"/>
      <c r="B528"/>
    </row>
    <row r="529" spans="1:2" x14ac:dyDescent="0.3">
      <c r="A529"/>
      <c r="B529"/>
    </row>
    <row r="530" spans="1:2" x14ac:dyDescent="0.3">
      <c r="A530"/>
      <c r="B530"/>
    </row>
    <row r="531" spans="1:2" x14ac:dyDescent="0.3">
      <c r="A531"/>
      <c r="B531"/>
    </row>
    <row r="532" spans="1:2" x14ac:dyDescent="0.3">
      <c r="A532"/>
      <c r="B532"/>
    </row>
    <row r="533" spans="1:2" x14ac:dyDescent="0.3">
      <c r="A533"/>
      <c r="B533"/>
    </row>
    <row r="534" spans="1:2" x14ac:dyDescent="0.3">
      <c r="A534"/>
      <c r="B534"/>
    </row>
    <row r="535" spans="1:2" x14ac:dyDescent="0.3">
      <c r="A535"/>
      <c r="B535"/>
    </row>
    <row r="536" spans="1:2" x14ac:dyDescent="0.3">
      <c r="A536"/>
      <c r="B536"/>
    </row>
    <row r="537" spans="1:2" x14ac:dyDescent="0.3">
      <c r="A537"/>
      <c r="B537"/>
    </row>
    <row r="538" spans="1:2" x14ac:dyDescent="0.3">
      <c r="A538"/>
      <c r="B538"/>
    </row>
    <row r="539" spans="1:2" x14ac:dyDescent="0.3">
      <c r="A539"/>
      <c r="B539"/>
    </row>
    <row r="540" spans="1:2" x14ac:dyDescent="0.3">
      <c r="A540"/>
      <c r="B540"/>
    </row>
    <row r="541" spans="1:2" x14ac:dyDescent="0.3">
      <c r="A541"/>
      <c r="B541"/>
    </row>
    <row r="542" spans="1:2" x14ac:dyDescent="0.3">
      <c r="A542"/>
      <c r="B542"/>
    </row>
    <row r="543" spans="1:2" x14ac:dyDescent="0.3">
      <c r="A543"/>
      <c r="B543"/>
    </row>
    <row r="544" spans="1:2" x14ac:dyDescent="0.3">
      <c r="A544"/>
      <c r="B544"/>
    </row>
    <row r="545" spans="1:2" x14ac:dyDescent="0.3">
      <c r="A545"/>
      <c r="B545"/>
    </row>
    <row r="546" spans="1:2" x14ac:dyDescent="0.3">
      <c r="A546"/>
      <c r="B546"/>
    </row>
    <row r="547" spans="1:2" x14ac:dyDescent="0.3">
      <c r="A547"/>
      <c r="B547"/>
    </row>
    <row r="548" spans="1:2" x14ac:dyDescent="0.3">
      <c r="A548"/>
      <c r="B548"/>
    </row>
    <row r="549" spans="1:2" x14ac:dyDescent="0.3">
      <c r="A549"/>
      <c r="B549"/>
    </row>
    <row r="550" spans="1:2" x14ac:dyDescent="0.3">
      <c r="A550"/>
      <c r="B550"/>
    </row>
    <row r="551" spans="1:2" x14ac:dyDescent="0.3">
      <c r="A551"/>
      <c r="B551"/>
    </row>
    <row r="552" spans="1:2" x14ac:dyDescent="0.3">
      <c r="A552"/>
      <c r="B552"/>
    </row>
    <row r="553" spans="1:2" x14ac:dyDescent="0.3">
      <c r="A553"/>
      <c r="B553"/>
    </row>
    <row r="554" spans="1:2" x14ac:dyDescent="0.3">
      <c r="A554"/>
      <c r="B554"/>
    </row>
    <row r="555" spans="1:2" x14ac:dyDescent="0.3">
      <c r="A555"/>
      <c r="B555"/>
    </row>
    <row r="556" spans="1:2" x14ac:dyDescent="0.3">
      <c r="A556"/>
      <c r="B556"/>
    </row>
    <row r="557" spans="1:2" x14ac:dyDescent="0.3">
      <c r="A557"/>
      <c r="B557"/>
    </row>
    <row r="558" spans="1:2" x14ac:dyDescent="0.3">
      <c r="A558"/>
      <c r="B558"/>
    </row>
    <row r="559" spans="1:2" x14ac:dyDescent="0.3">
      <c r="A559"/>
      <c r="B559"/>
    </row>
    <row r="560" spans="1:2" x14ac:dyDescent="0.3">
      <c r="A560"/>
      <c r="B560"/>
    </row>
    <row r="561" spans="1:2" x14ac:dyDescent="0.3">
      <c r="A561"/>
      <c r="B561"/>
    </row>
    <row r="562" spans="1:2" x14ac:dyDescent="0.3">
      <c r="A562"/>
      <c r="B562"/>
    </row>
    <row r="563" spans="1:2" x14ac:dyDescent="0.3">
      <c r="A563"/>
      <c r="B563"/>
    </row>
    <row r="564" spans="1:2" x14ac:dyDescent="0.3">
      <c r="A564"/>
      <c r="B564"/>
    </row>
    <row r="565" spans="1:2" x14ac:dyDescent="0.3">
      <c r="A565"/>
      <c r="B565"/>
    </row>
    <row r="566" spans="1:2" x14ac:dyDescent="0.3">
      <c r="A566"/>
      <c r="B566"/>
    </row>
    <row r="567" spans="1:2" x14ac:dyDescent="0.3">
      <c r="A567"/>
      <c r="B567"/>
    </row>
    <row r="568" spans="1:2" x14ac:dyDescent="0.3">
      <c r="A568"/>
      <c r="B568"/>
    </row>
    <row r="569" spans="1:2" x14ac:dyDescent="0.3">
      <c r="A569"/>
      <c r="B569"/>
    </row>
    <row r="570" spans="1:2" x14ac:dyDescent="0.3">
      <c r="A570"/>
      <c r="B570"/>
    </row>
    <row r="571" spans="1:2" x14ac:dyDescent="0.3">
      <c r="A571"/>
      <c r="B571"/>
    </row>
    <row r="572" spans="1:2" x14ac:dyDescent="0.3">
      <c r="A572"/>
      <c r="B572"/>
    </row>
    <row r="573" spans="1:2" x14ac:dyDescent="0.3">
      <c r="A573"/>
      <c r="B573"/>
    </row>
    <row r="574" spans="1:2" x14ac:dyDescent="0.3">
      <c r="A574"/>
      <c r="B574"/>
    </row>
    <row r="575" spans="1:2" x14ac:dyDescent="0.3">
      <c r="A575"/>
      <c r="B575"/>
    </row>
    <row r="576" spans="1:2" x14ac:dyDescent="0.3">
      <c r="A576"/>
      <c r="B576"/>
    </row>
    <row r="577" spans="1:2" x14ac:dyDescent="0.3">
      <c r="A577"/>
      <c r="B577"/>
    </row>
    <row r="578" spans="1:2" x14ac:dyDescent="0.3">
      <c r="A578"/>
      <c r="B578"/>
    </row>
    <row r="579" spans="1:2" x14ac:dyDescent="0.3">
      <c r="A579"/>
      <c r="B579"/>
    </row>
    <row r="580" spans="1:2" x14ac:dyDescent="0.3">
      <c r="A580"/>
      <c r="B580"/>
    </row>
    <row r="581" spans="1:2" x14ac:dyDescent="0.3">
      <c r="A581"/>
      <c r="B581"/>
    </row>
    <row r="582" spans="1:2" x14ac:dyDescent="0.3">
      <c r="A582"/>
      <c r="B582"/>
    </row>
    <row r="583" spans="1:2" x14ac:dyDescent="0.3">
      <c r="A583"/>
      <c r="B583"/>
    </row>
    <row r="584" spans="1:2" x14ac:dyDescent="0.3">
      <c r="A584"/>
      <c r="B584"/>
    </row>
    <row r="585" spans="1:2" x14ac:dyDescent="0.3">
      <c r="A585"/>
      <c r="B585"/>
    </row>
    <row r="586" spans="1:2" x14ac:dyDescent="0.3">
      <c r="A586"/>
      <c r="B586"/>
    </row>
    <row r="587" spans="1:2" x14ac:dyDescent="0.3">
      <c r="A587"/>
      <c r="B587"/>
    </row>
    <row r="588" spans="1:2" x14ac:dyDescent="0.3">
      <c r="A588"/>
      <c r="B588"/>
    </row>
    <row r="589" spans="1:2" x14ac:dyDescent="0.3">
      <c r="A589"/>
      <c r="B589"/>
    </row>
    <row r="590" spans="1:2" x14ac:dyDescent="0.3">
      <c r="A590"/>
      <c r="B590"/>
    </row>
    <row r="591" spans="1:2" x14ac:dyDescent="0.3">
      <c r="A591"/>
      <c r="B591"/>
    </row>
    <row r="592" spans="1:2" x14ac:dyDescent="0.3">
      <c r="A592"/>
      <c r="B592"/>
    </row>
    <row r="593" spans="1:2" x14ac:dyDescent="0.3">
      <c r="A593"/>
      <c r="B593"/>
    </row>
    <row r="594" spans="1:2" x14ac:dyDescent="0.3">
      <c r="A594"/>
      <c r="B594"/>
    </row>
    <row r="595" spans="1:2" x14ac:dyDescent="0.3">
      <c r="A595"/>
      <c r="B595"/>
    </row>
    <row r="596" spans="1:2" x14ac:dyDescent="0.3">
      <c r="A596"/>
      <c r="B596"/>
    </row>
    <row r="597" spans="1:2" x14ac:dyDescent="0.3">
      <c r="A597"/>
      <c r="B597"/>
    </row>
    <row r="598" spans="1:2" x14ac:dyDescent="0.3">
      <c r="A598"/>
      <c r="B598"/>
    </row>
    <row r="599" spans="1:2" x14ac:dyDescent="0.3">
      <c r="A599"/>
      <c r="B599"/>
    </row>
    <row r="600" spans="1:2" x14ac:dyDescent="0.3">
      <c r="A600"/>
      <c r="B600"/>
    </row>
    <row r="601" spans="1:2" x14ac:dyDescent="0.3">
      <c r="A601"/>
      <c r="B601"/>
    </row>
    <row r="602" spans="1:2" x14ac:dyDescent="0.3">
      <c r="A602"/>
      <c r="B602"/>
    </row>
    <row r="603" spans="1:2" x14ac:dyDescent="0.3">
      <c r="A603"/>
      <c r="B603"/>
    </row>
    <row r="604" spans="1:2" x14ac:dyDescent="0.3">
      <c r="A604"/>
      <c r="B604"/>
    </row>
    <row r="605" spans="1:2" x14ac:dyDescent="0.3">
      <c r="A605"/>
      <c r="B605"/>
    </row>
    <row r="606" spans="1:2" x14ac:dyDescent="0.3">
      <c r="A606"/>
      <c r="B606"/>
    </row>
    <row r="607" spans="1:2" x14ac:dyDescent="0.3">
      <c r="A607"/>
      <c r="B607"/>
    </row>
    <row r="608" spans="1:2" x14ac:dyDescent="0.3">
      <c r="A608"/>
      <c r="B608"/>
    </row>
    <row r="609" spans="1:2" x14ac:dyDescent="0.3">
      <c r="A609"/>
      <c r="B609"/>
    </row>
    <row r="610" spans="1:2" x14ac:dyDescent="0.3">
      <c r="A610"/>
      <c r="B610"/>
    </row>
    <row r="611" spans="1:2" x14ac:dyDescent="0.3">
      <c r="A611"/>
      <c r="B611"/>
    </row>
    <row r="612" spans="1:2" x14ac:dyDescent="0.3">
      <c r="A612"/>
      <c r="B612"/>
    </row>
    <row r="613" spans="1:2" x14ac:dyDescent="0.3">
      <c r="A613"/>
      <c r="B613"/>
    </row>
    <row r="614" spans="1:2" x14ac:dyDescent="0.3">
      <c r="A614"/>
      <c r="B614"/>
    </row>
    <row r="615" spans="1:2" x14ac:dyDescent="0.3">
      <c r="A615"/>
      <c r="B615"/>
    </row>
    <row r="616" spans="1:2" x14ac:dyDescent="0.3">
      <c r="A616"/>
      <c r="B616"/>
    </row>
    <row r="617" spans="1:2" x14ac:dyDescent="0.3">
      <c r="A617"/>
      <c r="B617"/>
    </row>
    <row r="618" spans="1:2" x14ac:dyDescent="0.3">
      <c r="A618"/>
      <c r="B618"/>
    </row>
    <row r="619" spans="1:2" x14ac:dyDescent="0.3">
      <c r="A619"/>
      <c r="B619"/>
    </row>
    <row r="620" spans="1:2" x14ac:dyDescent="0.3">
      <c r="A620"/>
      <c r="B620"/>
    </row>
    <row r="621" spans="1:2" x14ac:dyDescent="0.3">
      <c r="A621"/>
      <c r="B621"/>
    </row>
    <row r="622" spans="1:2" x14ac:dyDescent="0.3">
      <c r="A622"/>
      <c r="B622"/>
    </row>
    <row r="623" spans="1:2" x14ac:dyDescent="0.3">
      <c r="A623"/>
      <c r="B623"/>
    </row>
    <row r="624" spans="1:2" x14ac:dyDescent="0.3">
      <c r="A624"/>
      <c r="B6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 ответов</vt:lpstr>
      <vt:lpstr>База данных</vt:lpstr>
      <vt:lpstr>Лист2</vt:lpstr>
      <vt:lpstr>Sheet2</vt:lpstr>
      <vt:lpstr>Лист1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resp office</cp:lastModifiedBy>
  <dcterms:created xsi:type="dcterms:W3CDTF">2010-08-09T12:20:19Z</dcterms:created>
  <dcterms:modified xsi:type="dcterms:W3CDTF">2026-05-03T09:34:47Z</dcterms:modified>
</cp:coreProperties>
</file>